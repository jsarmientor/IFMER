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correoescuelaingeduco.sharepoint.com/sites/IFMER2025-IIGrupo80/Shared Documents/General/"/>
    </mc:Choice>
  </mc:AlternateContent>
  <xr:revisionPtr revIDLastSave="4" documentId="11_9EE67E3AE24FDE4D3903DA142C07B01F0EDCDA76" xr6:coauthVersionLast="47" xr6:coauthVersionMax="47" xr10:uidLastSave="{5E7C57F1-ADA1-4695-88BC-2BFD99B7464A}"/>
  <bookViews>
    <workbookView xWindow="-120" yWindow="-120" windowWidth="20730" windowHeight="11040" activeTab="1" xr2:uid="{00000000-000D-0000-FFFF-FFFF00000000}"/>
  </bookViews>
  <sheets>
    <sheet name="Listado Equipos" sheetId="2" r:id="rId1"/>
    <sheet name="Ficha Tecnica" sheetId="4" r:id="rId2"/>
    <sheet name="MPP" sheetId="7" r:id="rId3"/>
    <sheet name="Predicitivo" sheetId="8" r:id="rId4"/>
  </sheets>
  <definedNames>
    <definedName name="_xlnm._FilterDatabase" localSheetId="0">'Listado Equipos'!$A$1:$AE$35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A36" i="4"/>
  <c r="D34" i="4"/>
  <c r="A34" i="4"/>
  <c r="F32" i="4"/>
  <c r="D32" i="4"/>
  <c r="A32" i="4"/>
  <c r="F30" i="4"/>
  <c r="D30" i="4"/>
  <c r="A30" i="4"/>
  <c r="E27" i="4"/>
  <c r="A27" i="4"/>
  <c r="F25" i="4"/>
  <c r="D25" i="4"/>
  <c r="A25" i="4"/>
  <c r="F23" i="4"/>
  <c r="D23" i="4"/>
  <c r="A23" i="4"/>
  <c r="F21" i="4"/>
  <c r="D21" i="4"/>
  <c r="A21" i="4"/>
  <c r="A17" i="4"/>
  <c r="C15" i="4"/>
  <c r="C13" i="4"/>
  <c r="F11" i="4"/>
  <c r="C11" i="4"/>
  <c r="F9" i="4"/>
  <c r="F7" i="4"/>
  <c r="C7" i="4"/>
  <c r="C5" i="4"/>
</calcChain>
</file>

<file path=xl/sharedStrings.xml><?xml version="1.0" encoding="utf-8"?>
<sst xmlns="http://schemas.openxmlformats.org/spreadsheetml/2006/main" count="1719" uniqueCount="507">
  <si>
    <t>ACTIVO</t>
  </si>
  <si>
    <t>PLACA NUEVA</t>
  </si>
  <si>
    <t>UBICACIÓN</t>
  </si>
  <si>
    <t>NOMBRE DEL EQUIPO</t>
  </si>
  <si>
    <t>MARCA</t>
  </si>
  <si>
    <t>MODELO</t>
  </si>
  <si>
    <t>SERIE</t>
  </si>
  <si>
    <t>FECHA DE FABRICACION</t>
  </si>
  <si>
    <t>FECHA DE INSTALACION</t>
  </si>
  <si>
    <t>FECHA DE COMPRA</t>
  </si>
  <si>
    <t>ACCESORIOS DEL EQUIPO</t>
  </si>
  <si>
    <t>VOLTAJE DE ALIMENTACION</t>
  </si>
  <si>
    <t>CORRIENTE DE ALIMENTACION</t>
  </si>
  <si>
    <t>PESO</t>
  </si>
  <si>
    <t>POTENCIA</t>
  </si>
  <si>
    <t>DIMENSIONES</t>
  </si>
  <si>
    <t>FUENTE DE ALIMENTACION</t>
  </si>
  <si>
    <t>FRECUENCIA DE ALIMENTACION</t>
  </si>
  <si>
    <t>CARACTERISTICAS BATERIA</t>
  </si>
  <si>
    <t>CONDICIONES DE TRABAJO</t>
  </si>
  <si>
    <t>TEMPERATURA</t>
  </si>
  <si>
    <t>HUMEDAD</t>
  </si>
  <si>
    <t>CLASIFICACION ELECTRICA</t>
  </si>
  <si>
    <t>MANEJO DE SOFTWARE</t>
  </si>
  <si>
    <t>CLASIFICACION BIOMEDICA</t>
  </si>
  <si>
    <t>CALIBRACION</t>
  </si>
  <si>
    <t>CLASIFICACION SEGÚN RIESGO</t>
  </si>
  <si>
    <t>RESPONSABLE MANTENIMIENTO</t>
  </si>
  <si>
    <t>TECNOLOGIA PREDOMINANTE</t>
  </si>
  <si>
    <t>FRECUENCIA MPP</t>
  </si>
  <si>
    <t>E000774</t>
  </si>
  <si>
    <t>LABORATORIO CLINICO</t>
  </si>
  <si>
    <t>UNIDAD TRANSFUCIONAL</t>
  </si>
  <si>
    <t>AGITADOR DE PLAQUETAS</t>
  </si>
  <si>
    <t>HELMER</t>
  </si>
  <si>
    <t>PF151</t>
  </si>
  <si>
    <t>N/A</t>
  </si>
  <si>
    <t>110 VAC</t>
  </si>
  <si>
    <t>Electrica</t>
  </si>
  <si>
    <t>60 Hz</t>
  </si>
  <si>
    <t>Presiones de 50-60 PSI</t>
  </si>
  <si>
    <t>30 - 60 %</t>
  </si>
  <si>
    <t>E000613</t>
  </si>
  <si>
    <t>SALAS DE CIRUGIA</t>
  </si>
  <si>
    <t>SALA</t>
  </si>
  <si>
    <t>ARCO EN C</t>
  </si>
  <si>
    <t>PHILLIPS</t>
  </si>
  <si>
    <t>BV PULSERA</t>
  </si>
  <si>
    <t>E000355</t>
  </si>
  <si>
    <t>ESTERILIZACION</t>
  </si>
  <si>
    <t>AUTOCLAVE</t>
  </si>
  <si>
    <t>ARAWELL</t>
  </si>
  <si>
    <t>380 VAC</t>
  </si>
  <si>
    <t>10A</t>
  </si>
  <si>
    <t>450Kg</t>
  </si>
  <si>
    <t>3600W</t>
  </si>
  <si>
    <t>100cm x 185cm x  58cm</t>
  </si>
  <si>
    <t>0 - 150°C</t>
  </si>
  <si>
    <t>30 - 80 %</t>
  </si>
  <si>
    <t>B clase II</t>
  </si>
  <si>
    <t>NO</t>
  </si>
  <si>
    <t>Soporte de Vida</t>
  </si>
  <si>
    <t>SI</t>
  </si>
  <si>
    <t>IIB</t>
  </si>
  <si>
    <t>Ingenieria biomedica</t>
  </si>
  <si>
    <t>Electroneumatica</t>
  </si>
  <si>
    <t>Trimestral</t>
  </si>
  <si>
    <t>URGENCIAS</t>
  </si>
  <si>
    <t>CONSULTORIO Nº 2</t>
  </si>
  <si>
    <t>BASCULA ANALOGA</t>
  </si>
  <si>
    <t>HEALTH O METER</t>
  </si>
  <si>
    <t>233KG</t>
  </si>
  <si>
    <t>15Kg</t>
  </si>
  <si>
    <t>280mm x 1470mm x 560mm</t>
  </si>
  <si>
    <t>0- 58°C</t>
  </si>
  <si>
    <t>Diagnostico</t>
  </si>
  <si>
    <t>I</t>
  </si>
  <si>
    <t>Mecanica</t>
  </si>
  <si>
    <t>E000232</t>
  </si>
  <si>
    <t>CONSULTORIO</t>
  </si>
  <si>
    <t>BASCULA PESA BEBE</t>
  </si>
  <si>
    <t>386KG</t>
  </si>
  <si>
    <t>E000360</t>
  </si>
  <si>
    <t>UCI 4 PISO</t>
  </si>
  <si>
    <t>STAR DE ENFERMERIA</t>
  </si>
  <si>
    <t>BOMBA DE CONTRAPULSACION</t>
  </si>
  <si>
    <t>ARROW</t>
  </si>
  <si>
    <t>ACAT I PLUS</t>
  </si>
  <si>
    <t>OO9282A</t>
  </si>
  <si>
    <t>E000339</t>
  </si>
  <si>
    <t>RESERVA</t>
  </si>
  <si>
    <t>CALENTADOR DE LIQUIDOS</t>
  </si>
  <si>
    <t>ANIMEC</t>
  </si>
  <si>
    <t>AM-2S</t>
  </si>
  <si>
    <t>E000196</t>
  </si>
  <si>
    <t>CENTRIFUGACION</t>
  </si>
  <si>
    <t>CENTRIFUGA</t>
  </si>
  <si>
    <t>HUMAN</t>
  </si>
  <si>
    <t>HUMAN 4K</t>
  </si>
  <si>
    <t>02 3674</t>
  </si>
  <si>
    <t>1,5A</t>
  </si>
  <si>
    <t>40Kg</t>
  </si>
  <si>
    <t>310W</t>
  </si>
  <si>
    <t>32cm x 41cm x 49cm</t>
  </si>
  <si>
    <t>0 - 55°C</t>
  </si>
  <si>
    <t>B clase I</t>
  </si>
  <si>
    <t>Lab. Clinico</t>
  </si>
  <si>
    <t>IIA</t>
  </si>
  <si>
    <t>Electronica</t>
  </si>
  <si>
    <t>E000192</t>
  </si>
  <si>
    <t>COAGULACION</t>
  </si>
  <si>
    <t>CONTADOR DE CELULAS</t>
  </si>
  <si>
    <t>CLAY ADAMS</t>
  </si>
  <si>
    <t>DERMATOMO</t>
  </si>
  <si>
    <t>NOUVAG</t>
  </si>
  <si>
    <t>TCM3000</t>
  </si>
  <si>
    <t>LK1913</t>
  </si>
  <si>
    <t>E000610</t>
  </si>
  <si>
    <t>CARRO DE PARO</t>
  </si>
  <si>
    <t>DESFIBRILADOR</t>
  </si>
  <si>
    <t>MINDRAY</t>
  </si>
  <si>
    <t>BENEHEART D3</t>
  </si>
  <si>
    <t>EL-32006198</t>
  </si>
  <si>
    <t>Cable ECG, Cable AC, Palas</t>
  </si>
  <si>
    <t>6A</t>
  </si>
  <si>
    <t>12Kg</t>
  </si>
  <si>
    <t>500W</t>
  </si>
  <si>
    <t>18cm x 32cm x 49cm</t>
  </si>
  <si>
    <t>10V    140mA</t>
  </si>
  <si>
    <t>5 - 50°C</t>
  </si>
  <si>
    <t>CF clase II</t>
  </si>
  <si>
    <t>E000740</t>
  </si>
  <si>
    <t>UCI 2 PISO</t>
  </si>
  <si>
    <t>EL-35007533</t>
  </si>
  <si>
    <t>UCI TERCER PISO</t>
  </si>
  <si>
    <t>GENERAL ELECTRIC</t>
  </si>
  <si>
    <t>CARDIOSERV</t>
  </si>
  <si>
    <t>E000580</t>
  </si>
  <si>
    <t>UCI CORONARIA</t>
  </si>
  <si>
    <t>ZOLL</t>
  </si>
  <si>
    <t>PD1400</t>
  </si>
  <si>
    <t>D97K13162</t>
  </si>
  <si>
    <t>E000358</t>
  </si>
  <si>
    <t>HEWLETT PACKARD</t>
  </si>
  <si>
    <t>M1722B</t>
  </si>
  <si>
    <t>US00110634</t>
  </si>
  <si>
    <t>E000639</t>
  </si>
  <si>
    <t>RADIOLOGIA</t>
  </si>
  <si>
    <t>ECOGRAFIAS</t>
  </si>
  <si>
    <t>ECOGRAFO DE ALTA DEFINICION</t>
  </si>
  <si>
    <t>HD6</t>
  </si>
  <si>
    <t>CIN70130081</t>
  </si>
  <si>
    <t>ELECTROBISTURI</t>
  </si>
  <si>
    <t>VALLEYLAB</t>
  </si>
  <si>
    <t>FORCE 2</t>
  </si>
  <si>
    <t>F7L33778T</t>
  </si>
  <si>
    <t>Cable AC, Pedal Bipolar, Pedal Monopolar</t>
  </si>
  <si>
    <t>7A</t>
  </si>
  <si>
    <t>18,2Kg</t>
  </si>
  <si>
    <t>800W</t>
  </si>
  <si>
    <t>15,9cm x 40,4cm  x 57,8cm</t>
  </si>
  <si>
    <t>3 - 65°C</t>
  </si>
  <si>
    <t>Tratamiento</t>
  </si>
  <si>
    <t>CONMED ASPEN</t>
  </si>
  <si>
    <t>SABRE 2400</t>
  </si>
  <si>
    <t>AF049221</t>
  </si>
  <si>
    <t>REANIMACION (URGENCIAS)</t>
  </si>
  <si>
    <t>ELECTROCARDIOGRAFO</t>
  </si>
  <si>
    <t>EDAN</t>
  </si>
  <si>
    <t>SE-601C</t>
  </si>
  <si>
    <t>SEA33231070820D</t>
  </si>
  <si>
    <t>Cable AC, Cable ECG, Pinzas(4), Pera Precordial(6), Rollo de Papel, Cable Tierra.</t>
  </si>
  <si>
    <t>900mA</t>
  </si>
  <si>
    <t>2,3Kg</t>
  </si>
  <si>
    <t>180W</t>
  </si>
  <si>
    <t>278mm x 210mm x 50mm</t>
  </si>
  <si>
    <t>14V</t>
  </si>
  <si>
    <t>2 - 48°C</t>
  </si>
  <si>
    <t>CF Clase I</t>
  </si>
  <si>
    <t>Bimestral</t>
  </si>
  <si>
    <t>TRIAGE</t>
  </si>
  <si>
    <t>EQUIPO DE ORGANOS</t>
  </si>
  <si>
    <t>WELCH ALLYN</t>
  </si>
  <si>
    <t>cable ac, cabezales</t>
  </si>
  <si>
    <t>0,5A</t>
  </si>
  <si>
    <t>5-32 cm</t>
  </si>
  <si>
    <t>diagnostico</t>
  </si>
  <si>
    <t>Semestral</t>
  </si>
  <si>
    <t>E000365</t>
  </si>
  <si>
    <t>ESTIMULADOR DE NERVIO PERIFERICO</t>
  </si>
  <si>
    <t>LIFE-TECH</t>
  </si>
  <si>
    <t>MINISTIM MS-IV A</t>
  </si>
  <si>
    <t>OF1570004</t>
  </si>
  <si>
    <t>EOOO485</t>
  </si>
  <si>
    <t>HABITACION</t>
  </si>
  <si>
    <t>FLUJOMETRO SENCILLO</t>
  </si>
  <si>
    <t>WHITE MARTINS</t>
  </si>
  <si>
    <t>J95</t>
  </si>
  <si>
    <t>HOSPITALIZACION 7 SUR</t>
  </si>
  <si>
    <t>FONENDOSCOPIO</t>
  </si>
  <si>
    <t>GENERICO</t>
  </si>
  <si>
    <t>FOTOSFORO QUIRURGICO</t>
  </si>
  <si>
    <t>WOLF</t>
  </si>
  <si>
    <t>4526.00</t>
  </si>
  <si>
    <t>Adapador Voltaje</t>
  </si>
  <si>
    <t>300mA</t>
  </si>
  <si>
    <t>120gr</t>
  </si>
  <si>
    <t>75W</t>
  </si>
  <si>
    <t>4 - 15 cm</t>
  </si>
  <si>
    <t>LAMPARA CIELITICA</t>
  </si>
  <si>
    <t>MARTIN</t>
  </si>
  <si>
    <t>ML701</t>
  </si>
  <si>
    <t>060199D153</t>
  </si>
  <si>
    <t>220 VAC</t>
  </si>
  <si>
    <t>2A</t>
  </si>
  <si>
    <t>60Kg</t>
  </si>
  <si>
    <t>425W</t>
  </si>
  <si>
    <t>120cm x 130cm x 116cm</t>
  </si>
  <si>
    <t>0 - 70°C</t>
  </si>
  <si>
    <t>AMSCO</t>
  </si>
  <si>
    <t>POLARIS SL</t>
  </si>
  <si>
    <t>CASTLE</t>
  </si>
  <si>
    <t>LG961018-19</t>
  </si>
  <si>
    <t>LG961020-21</t>
  </si>
  <si>
    <t>HOSPITALIZACION 6 SUR</t>
  </si>
  <si>
    <t>LARINGOSCOPIO</t>
  </si>
  <si>
    <t>9VDC</t>
  </si>
  <si>
    <t>10 - 70°C</t>
  </si>
  <si>
    <t>clase III</t>
  </si>
  <si>
    <t>electrico</t>
  </si>
  <si>
    <t>E000649</t>
  </si>
  <si>
    <t>MAQUINA DE ANESTESIA</t>
  </si>
  <si>
    <t>WATO-EX65</t>
  </si>
  <si>
    <t>ER-33001386</t>
  </si>
  <si>
    <t>1,8A</t>
  </si>
  <si>
    <t>134,2Kg</t>
  </si>
  <si>
    <t>750W</t>
  </si>
  <si>
    <t>103,5cm x 132cm x 84cm</t>
  </si>
  <si>
    <t>6V</t>
  </si>
  <si>
    <t>0 - 43°C</t>
  </si>
  <si>
    <t>BF clase II</t>
  </si>
  <si>
    <t>E000073</t>
  </si>
  <si>
    <t>MARCAPASOS EXTERNO</t>
  </si>
  <si>
    <t>MEDTRONIC</t>
  </si>
  <si>
    <t>CE0010825R</t>
  </si>
  <si>
    <t>Cable ECG</t>
  </si>
  <si>
    <t>2Kg</t>
  </si>
  <si>
    <t>60W</t>
  </si>
  <si>
    <t>14cm x 9cm x 4cm</t>
  </si>
  <si>
    <t>Bateria</t>
  </si>
  <si>
    <t>9V      200mA</t>
  </si>
  <si>
    <t>0 - 60°C</t>
  </si>
  <si>
    <t>CF clase I</t>
  </si>
  <si>
    <t>E000364</t>
  </si>
  <si>
    <t>REANIMACION</t>
  </si>
  <si>
    <t>MARCAPASOS EXTERNO BICAMERAL</t>
  </si>
  <si>
    <t>EH000064512</t>
  </si>
  <si>
    <t>MESA DE CIRUGIA</t>
  </si>
  <si>
    <t>SHAMPAINE</t>
  </si>
  <si>
    <t>4900B</t>
  </si>
  <si>
    <t>RL9611019</t>
  </si>
  <si>
    <t>Cable AC, Control de Mando</t>
  </si>
  <si>
    <t>3A</t>
  </si>
  <si>
    <t>250Kg</t>
  </si>
  <si>
    <t>480W</t>
  </si>
  <si>
    <t>1842mm x 502mm</t>
  </si>
  <si>
    <t>24V</t>
  </si>
  <si>
    <t>0 - 68°C</t>
  </si>
  <si>
    <t>Electrohidraulica</t>
  </si>
  <si>
    <t>trimestral</t>
  </si>
  <si>
    <t>E000616</t>
  </si>
  <si>
    <t>GENERICA</t>
  </si>
  <si>
    <t>2080L</t>
  </si>
  <si>
    <t>E000652</t>
  </si>
  <si>
    <t>MICROSCOPIO</t>
  </si>
  <si>
    <t>OLYMPUS</t>
  </si>
  <si>
    <t>CX-22</t>
  </si>
  <si>
    <t>2H85414</t>
  </si>
  <si>
    <t>Cable AC</t>
  </si>
  <si>
    <t>2.2A</t>
  </si>
  <si>
    <t>50W</t>
  </si>
  <si>
    <t>15 - 53°C</t>
  </si>
  <si>
    <t>B Clase II</t>
  </si>
  <si>
    <t>si</t>
  </si>
  <si>
    <t>apoyo y tratamiento</t>
  </si>
  <si>
    <t>electromecanica</t>
  </si>
  <si>
    <t>E000368</t>
  </si>
  <si>
    <t>MINI DOPPLER</t>
  </si>
  <si>
    <t>KOVEN</t>
  </si>
  <si>
    <t>ES 100X</t>
  </si>
  <si>
    <t>E000659</t>
  </si>
  <si>
    <t>CUBICULO</t>
  </si>
  <si>
    <t>MONITOR DE SIGNOS VITALES</t>
  </si>
  <si>
    <t>M8</t>
  </si>
  <si>
    <t>301301-M13303440026</t>
  </si>
  <si>
    <t>Cable AC, Cable ECG, sensor SPO2, Cable PI, Brazalete, Manguera, sensor de T.</t>
  </si>
  <si>
    <t>4Kg</t>
  </si>
  <si>
    <t>220W</t>
  </si>
  <si>
    <t>252mm x 246mm x 118mm</t>
  </si>
  <si>
    <t>12V   500mA</t>
  </si>
  <si>
    <t>5 - 48 °C</t>
  </si>
  <si>
    <t>BF clase I</t>
  </si>
  <si>
    <t>E000586</t>
  </si>
  <si>
    <t>MEC1200</t>
  </si>
  <si>
    <t>CC-17119026</t>
  </si>
  <si>
    <t>Cable AC, Cable ECG, sensor SPO2, Brazalete, Manguera, sensor de T.</t>
  </si>
  <si>
    <t>E000771</t>
  </si>
  <si>
    <t>TRANSPORTE</t>
  </si>
  <si>
    <t>M50</t>
  </si>
  <si>
    <t>333123-M133046600058-01</t>
  </si>
  <si>
    <t>E000657</t>
  </si>
  <si>
    <t>DEPARTAMENTO ENFERMERIA</t>
  </si>
  <si>
    <t>333123-M13304660073-01</t>
  </si>
  <si>
    <t>2059618</t>
  </si>
  <si>
    <t>NELLCOR</t>
  </si>
  <si>
    <t>NPB4000</t>
  </si>
  <si>
    <t>96A05201</t>
  </si>
  <si>
    <t>E000518</t>
  </si>
  <si>
    <t>MONITOR MULTIPARAMETROS</t>
  </si>
  <si>
    <t>M80</t>
  </si>
  <si>
    <t>332278-M14102020006-01</t>
  </si>
  <si>
    <t>E000587</t>
  </si>
  <si>
    <t>PM7000</t>
  </si>
  <si>
    <t>CC-7B10293</t>
  </si>
  <si>
    <t>E000615</t>
  </si>
  <si>
    <t>DATASCOPE</t>
  </si>
  <si>
    <t>PASSPORT 2</t>
  </si>
  <si>
    <t>TS08529-A7</t>
  </si>
  <si>
    <t>E000577</t>
  </si>
  <si>
    <t>CC-22121846</t>
  </si>
  <si>
    <t>E000837</t>
  </si>
  <si>
    <t>IMEC 12</t>
  </si>
  <si>
    <t>EX3B012005</t>
  </si>
  <si>
    <t>PASSPORT 5L</t>
  </si>
  <si>
    <t>P58120-G8</t>
  </si>
  <si>
    <t>E000023</t>
  </si>
  <si>
    <t>MDE</t>
  </si>
  <si>
    <t>SCORT PRISM</t>
  </si>
  <si>
    <t>E000588</t>
  </si>
  <si>
    <t>RECUPERACION</t>
  </si>
  <si>
    <t>PM8000</t>
  </si>
  <si>
    <t>AA69C2518I</t>
  </si>
  <si>
    <t>E000650</t>
  </si>
  <si>
    <t>MONITROR SIGNOS VITALES</t>
  </si>
  <si>
    <t>CC-19119637</t>
  </si>
  <si>
    <t>E000348</t>
  </si>
  <si>
    <t>NEUMOINSUFLADOR</t>
  </si>
  <si>
    <t>UHI-2</t>
  </si>
  <si>
    <t>E000705</t>
  </si>
  <si>
    <t>KARL STORZ</t>
  </si>
  <si>
    <t>26432020-1</t>
  </si>
  <si>
    <t>SW15997</t>
  </si>
  <si>
    <t>RAYOS X CONVENCIONAL FIJO</t>
  </si>
  <si>
    <t>OPTIMUS 50</t>
  </si>
  <si>
    <t>440 VAC</t>
  </si>
  <si>
    <t>20A</t>
  </si>
  <si>
    <t>1,7Tn</t>
  </si>
  <si>
    <t>3400W</t>
  </si>
  <si>
    <t>280cm x 250cm x 210cm</t>
  </si>
  <si>
    <t>0- 70°C</t>
  </si>
  <si>
    <t>RAYOS X PORTATIL</t>
  </si>
  <si>
    <t>SIEMENS</t>
  </si>
  <si>
    <t>UV2072 MOBILET</t>
  </si>
  <si>
    <t>208945S05</t>
  </si>
  <si>
    <t>E000277</t>
  </si>
  <si>
    <t>HOSPITALIZACION 3 SUR</t>
  </si>
  <si>
    <t>REGULADOR DE VACIO</t>
  </si>
  <si>
    <t>AMVEX</t>
  </si>
  <si>
    <t>E000504</t>
  </si>
  <si>
    <t>ROTADOR DE PLAQUETAS</t>
  </si>
  <si>
    <t>LUCOLDI</t>
  </si>
  <si>
    <t>RM1</t>
  </si>
  <si>
    <t>E000351</t>
  </si>
  <si>
    <t>SHAVER</t>
  </si>
  <si>
    <t>A7402</t>
  </si>
  <si>
    <t>SIERRA PARA YESOS</t>
  </si>
  <si>
    <t>JONTEX</t>
  </si>
  <si>
    <t>RSD-100</t>
  </si>
  <si>
    <t>STERRAD</t>
  </si>
  <si>
    <t>JOHNSON</t>
  </si>
  <si>
    <t>ASP-100</t>
  </si>
  <si>
    <t>350Kg</t>
  </si>
  <si>
    <t>1350W</t>
  </si>
  <si>
    <t>165mm x 166mm</t>
  </si>
  <si>
    <t>5 - 100°C</t>
  </si>
  <si>
    <t>TERAPIA FISICA</t>
  </si>
  <si>
    <t>TENS</t>
  </si>
  <si>
    <t>CHATANNOGA</t>
  </si>
  <si>
    <t>4.4kg</t>
  </si>
  <si>
    <t>160mm x 300mm x 440mm</t>
  </si>
  <si>
    <t>FISIOTERAPIA</t>
  </si>
  <si>
    <t>COLSULTORIO Nº 4</t>
  </si>
  <si>
    <t>TENSIOMETRO ANEROIDE DE PARED</t>
  </si>
  <si>
    <t>ALPK-2</t>
  </si>
  <si>
    <t>E000344</t>
  </si>
  <si>
    <t>TORNIQUETE ELECTRICO</t>
  </si>
  <si>
    <t>VBM</t>
  </si>
  <si>
    <t>704-08014</t>
  </si>
  <si>
    <t>Brazalete</t>
  </si>
  <si>
    <t>500mA</t>
  </si>
  <si>
    <t>20Kg</t>
  </si>
  <si>
    <t>100W</t>
  </si>
  <si>
    <t>5cm x 8cm</t>
  </si>
  <si>
    <t>E000578</t>
  </si>
  <si>
    <t>UCI 3 PISO (CUBICULO)</t>
  </si>
  <si>
    <t>VENTILADOR MECANICO</t>
  </si>
  <si>
    <t>SERVO 300</t>
  </si>
  <si>
    <t>3,2A</t>
  </si>
  <si>
    <t>80Kg</t>
  </si>
  <si>
    <t>630W</t>
  </si>
  <si>
    <t>83mm x 244mm x 254mm</t>
  </si>
  <si>
    <t>24V       12A</t>
  </si>
  <si>
    <t>7 - 48°C</t>
  </si>
  <si>
    <t>E000583</t>
  </si>
  <si>
    <t>NPB</t>
  </si>
  <si>
    <t>E000645</t>
  </si>
  <si>
    <t>IMT. MEDICAL</t>
  </si>
  <si>
    <t>BELLAVISTA</t>
  </si>
  <si>
    <t>MB103826</t>
  </si>
  <si>
    <t>HOSPITAL SANTA RITA DEL  SOCORRO</t>
  </si>
  <si>
    <t>FO-MT-05</t>
  </si>
  <si>
    <t>DIRECCIÓN ADMINISTRATIVA</t>
  </si>
  <si>
    <t>Versión: 0,1</t>
  </si>
  <si>
    <t>FORMATO FICHA TÉCNICA EQUIPO</t>
  </si>
  <si>
    <t>Fecha: 2013-04</t>
  </si>
  <si>
    <t>ÁREA DE MANTENIMIENTO</t>
  </si>
  <si>
    <t>Página: 1 de 1</t>
  </si>
  <si>
    <t>FORMA DE</t>
  </si>
  <si>
    <t>DIRECTA</t>
  </si>
  <si>
    <t>COMODATO</t>
  </si>
  <si>
    <t>A. TÉCNICA</t>
  </si>
  <si>
    <t>ADQUISICIÓN</t>
  </si>
  <si>
    <t>X</t>
  </si>
  <si>
    <t>FECHA DE</t>
  </si>
  <si>
    <t>INSTALACIÓN</t>
  </si>
  <si>
    <t>FECHA DE FABRICACIÓN</t>
  </si>
  <si>
    <t>COMPRA</t>
  </si>
  <si>
    <t>SERVICIO</t>
  </si>
  <si>
    <t>UBICACIÓN DEL EQUIPO</t>
  </si>
  <si>
    <t>ACCESORIOS DEL EQUIPO (SI ES APLICABLE):</t>
  </si>
  <si>
    <t>CARACTERÍSTICAS TÉCNICAS (diligenciar en caso aplicable)</t>
  </si>
  <si>
    <t>Voltaje de alimentación:</t>
  </si>
  <si>
    <t>Corriente de Alimentación:</t>
  </si>
  <si>
    <t>Peso:</t>
  </si>
  <si>
    <t>Potencia:</t>
  </si>
  <si>
    <t>Dimensiones:</t>
  </si>
  <si>
    <t>Fuente de Alimentacion:</t>
  </si>
  <si>
    <t>Frecuencia de alimentación:</t>
  </si>
  <si>
    <t>Caracteristicas Bateria:</t>
  </si>
  <si>
    <t>Condiciones de trabajo:</t>
  </si>
  <si>
    <t>Temperatura:</t>
  </si>
  <si>
    <t>Humedad:</t>
  </si>
  <si>
    <t>GESTION TECNOLOGICA</t>
  </si>
  <si>
    <t>Clasificacion Electrica:</t>
  </si>
  <si>
    <t>Manejo de Software:</t>
  </si>
  <si>
    <t>Clasificacion Biomedica:</t>
  </si>
  <si>
    <t>Calibracion:</t>
  </si>
  <si>
    <t>Registro Invima:</t>
  </si>
  <si>
    <t>Clasificación según riesgo:</t>
  </si>
  <si>
    <t>Rsponsable Mantenimiento:</t>
  </si>
  <si>
    <t>Tecnologia Predominante:</t>
  </si>
  <si>
    <t>FRECUENCIA DE MANTENIMIENTO PREVENTIVO</t>
  </si>
  <si>
    <t>CRONOGRAMA DE MANTENIMIENTO PREVENTIVO PROGRAMADO</t>
  </si>
  <si>
    <t>EQUIPO</t>
  </si>
  <si>
    <t>VARIABLES</t>
  </si>
  <si>
    <t>TOTAL</t>
  </si>
  <si>
    <t>PERIODO DE MPP</t>
  </si>
  <si>
    <t>RANGOS</t>
  </si>
  <si>
    <t>FRECUENCIA USO</t>
  </si>
  <si>
    <t>FORMA DE USO (TRATO)</t>
  </si>
  <si>
    <t>EXACTITUD REQUERIDA</t>
  </si>
  <si>
    <t>IMPORTANCIA $</t>
  </si>
  <si>
    <t>4 A 8</t>
  </si>
  <si>
    <t>ANUAL</t>
  </si>
  <si>
    <t>BIMESTRAL</t>
  </si>
  <si>
    <t>9 A 13</t>
  </si>
  <si>
    <t>SEMESTRAL</t>
  </si>
  <si>
    <t>TRIMESTRAL</t>
  </si>
  <si>
    <t>14 A 17</t>
  </si>
  <si>
    <t>18 A 20</t>
  </si>
  <si>
    <t>BASCULA CON TALLIMETRO</t>
  </si>
  <si>
    <t>CONSULTA EXTERNA</t>
  </si>
  <si>
    <t>PESA BEBE DIGITAL</t>
  </si>
  <si>
    <t>ECOGRAFO</t>
  </si>
  <si>
    <t>IMAGENOLOGIA</t>
  </si>
  <si>
    <t>HEMOCRON</t>
  </si>
  <si>
    <t>FOTOFORO QUIRURGICO</t>
  </si>
  <si>
    <t>VENTILADOR</t>
  </si>
  <si>
    <t>TERAPIA RESPIRATORIA</t>
  </si>
  <si>
    <t>MAQUINA DE HEMODIALISIS</t>
  </si>
  <si>
    <t>UNIDAD RENAL</t>
  </si>
  <si>
    <t>ULTRASONIDO</t>
  </si>
  <si>
    <t>LAMPARA DE CALOR RADIANTE</t>
  </si>
  <si>
    <t>UNIDAD O SERVICIO</t>
  </si>
  <si>
    <t>EQUIPOS</t>
  </si>
  <si>
    <t>LUNES</t>
  </si>
  <si>
    <t>MARTES</t>
  </si>
  <si>
    <t>MIERCOLES</t>
  </si>
  <si>
    <t>JUEVES</t>
  </si>
  <si>
    <t>VIERNES</t>
  </si>
  <si>
    <t>SABADO</t>
  </si>
  <si>
    <t>CIRUGIA GENERAL</t>
  </si>
  <si>
    <t>DISPONIBILIDAD</t>
  </si>
  <si>
    <t>UCI 2 Y 4 PISO</t>
  </si>
  <si>
    <t>VENTILADOR 760</t>
  </si>
  <si>
    <t>VENTILADOR 840</t>
  </si>
  <si>
    <t>MQUINA DE HEMODIALISIS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</si>
</sst>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rgb="FFFFFFFF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FFFFFF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rgb="FFFFFFFF"/>
      </bottom>
      <diagonal/>
    </border>
    <border>
      <left style="thick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medium">
        <color rgb="FFFFFFFF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FFFFFF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rgb="FFFFFFFF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right"/>
    </xf>
    <xf numFmtId="0" fontId="3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16" fontId="0" fillId="0" borderId="4" xfId="0" applyNumberFormat="1" applyBorder="1"/>
    <xf numFmtId="0" fontId="5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8" xfId="0" applyBorder="1" applyAlignment="1">
      <alignment horizontal="right"/>
    </xf>
    <xf numFmtId="0" fontId="5" fillId="0" borderId="8" xfId="0" applyFont="1" applyBorder="1" applyAlignment="1">
      <alignment horizontal="center" vertical="top" wrapText="1"/>
    </xf>
    <xf numFmtId="0" fontId="5" fillId="0" borderId="33" xfId="0" applyFont="1" applyBorder="1" applyAlignment="1">
      <alignment horizontal="center" vertical="top" wrapText="1"/>
    </xf>
    <xf numFmtId="0" fontId="0" fillId="0" borderId="33" xfId="0" applyBorder="1" applyAlignment="1">
      <alignment vertical="top" wrapText="1"/>
    </xf>
    <xf numFmtId="0" fontId="0" fillId="0" borderId="35" xfId="0" applyBorder="1" applyAlignment="1">
      <alignment horizontal="right"/>
    </xf>
    <xf numFmtId="0" fontId="5" fillId="0" borderId="35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0" fillId="0" borderId="33" xfId="0" applyBorder="1" applyAlignment="1">
      <alignment horizontal="right"/>
    </xf>
    <xf numFmtId="0" fontId="0" fillId="0" borderId="33" xfId="0" applyBorder="1"/>
    <xf numFmtId="0" fontId="0" fillId="0" borderId="8" xfId="0" applyBorder="1"/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right"/>
    </xf>
    <xf numFmtId="0" fontId="0" fillId="0" borderId="9" xfId="0" applyBorder="1"/>
    <xf numFmtId="0" fontId="0" fillId="0" borderId="35" xfId="0" applyBorder="1"/>
    <xf numFmtId="0" fontId="0" fillId="0" borderId="35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6" xfId="0" applyBorder="1" applyAlignment="1">
      <alignment wrapText="1"/>
    </xf>
    <xf numFmtId="0" fontId="0" fillId="0" borderId="36" xfId="0" applyBorder="1" applyAlignment="1">
      <alignment horizontal="right"/>
    </xf>
    <xf numFmtId="0" fontId="5" fillId="0" borderId="36" xfId="0" applyFont="1" applyBorder="1" applyAlignment="1">
      <alignment horizontal="center" vertical="top" wrapText="1"/>
    </xf>
    <xf numFmtId="0" fontId="0" fillId="0" borderId="36" xfId="0" applyBorder="1"/>
    <xf numFmtId="0" fontId="0" fillId="0" borderId="36" xfId="0" applyBorder="1" applyAlignment="1">
      <alignment horizontal="left" vertical="top" wrapText="1"/>
    </xf>
    <xf numFmtId="0" fontId="0" fillId="0" borderId="37" xfId="0" applyBorder="1"/>
    <xf numFmtId="0" fontId="5" fillId="0" borderId="38" xfId="0" applyFont="1" applyBorder="1" applyAlignment="1">
      <alignment horizontal="center" vertical="top" wrapText="1"/>
    </xf>
    <xf numFmtId="0" fontId="0" fillId="0" borderId="39" xfId="0" applyBorder="1"/>
    <xf numFmtId="0" fontId="7" fillId="3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/>
    </xf>
    <xf numFmtId="0" fontId="2" fillId="0" borderId="28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4" fillId="0" borderId="2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4" fillId="0" borderId="25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wrapText="1"/>
    </xf>
    <xf numFmtId="0" fontId="4" fillId="0" borderId="9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14" fontId="0" fillId="0" borderId="6" xfId="0" applyNumberFormat="1" applyBorder="1" applyAlignment="1">
      <alignment horizontal="center" wrapText="1"/>
    </xf>
    <xf numFmtId="17" fontId="0" fillId="0" borderId="4" xfId="0" applyNumberForma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0" fontId="0" fillId="0" borderId="3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8"/>
  <sheetViews>
    <sheetView zoomScale="90" zoomScaleNormal="90" workbookViewId="0">
      <selection activeCell="A56" sqref="A56"/>
    </sheetView>
  </sheetViews>
  <sheetFormatPr baseColWidth="10" defaultColWidth="9.140625" defaultRowHeight="15" x14ac:dyDescent="0.25"/>
  <cols>
    <col min="1" max="1" width="8.85546875" style="1" bestFit="1" customWidth="1"/>
    <col min="2" max="2" width="14.85546875" style="1" customWidth="1"/>
    <col min="3" max="3" width="26.5703125" style="1"/>
    <col min="4" max="4" width="27.85546875" style="1"/>
    <col min="5" max="5" width="32.85546875" style="1"/>
    <col min="6" max="6" width="17.5703125"/>
    <col min="7" max="7" width="17.140625"/>
    <col min="8" max="8" width="22.5703125"/>
    <col min="9" max="9" width="13.28515625"/>
    <col min="10" max="10" width="13.140625"/>
    <col min="11" max="11" width="11.5703125" bestFit="1" customWidth="1"/>
    <col min="12" max="12" width="24"/>
    <col min="13" max="14" width="14.85546875"/>
    <col min="15" max="15" width="7.7109375"/>
    <col min="16" max="16" width="7.140625"/>
    <col min="17" max="17" width="25.5703125"/>
    <col min="18" max="19" width="14.85546875"/>
    <col min="20" max="21" width="13.42578125"/>
    <col min="22" max="22" width="14.42578125"/>
    <col min="23" max="23" width="11"/>
    <col min="24" max="24" width="15.140625"/>
    <col min="25" max="25" width="11.5703125"/>
    <col min="26" max="26" width="15.7109375"/>
    <col min="27" max="27" width="13.42578125"/>
    <col min="28" max="28" width="16.28515625"/>
    <col min="29" max="29" width="20.7109375"/>
    <col min="30" max="30" width="17.42578125"/>
    <col min="31" max="31" width="13.28515625"/>
    <col min="32" max="1025" width="10.7109375"/>
  </cols>
  <sheetData>
    <row r="1" spans="1:31" s="3" customFormat="1" ht="42.75" customHeight="1" x14ac:dyDescent="0.25">
      <c r="A1" s="2" t="s">
        <v>0</v>
      </c>
      <c r="B1" s="56" t="s">
        <v>1</v>
      </c>
      <c r="C1" s="2" t="s">
        <v>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s="8" customFormat="1" ht="15" customHeight="1" x14ac:dyDescent="0.25">
      <c r="A2" s="4" t="s">
        <v>30</v>
      </c>
      <c r="B2" s="4"/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>
        <v>1011960</v>
      </c>
      <c r="I2" s="5">
        <v>2013</v>
      </c>
      <c r="J2" s="6"/>
      <c r="K2" s="6"/>
      <c r="L2" s="7" t="s">
        <v>36</v>
      </c>
      <c r="M2" s="7" t="s">
        <v>37</v>
      </c>
      <c r="N2" s="7"/>
      <c r="O2" s="7"/>
      <c r="P2" s="7"/>
      <c r="Q2" s="7"/>
      <c r="R2" s="7" t="s">
        <v>38</v>
      </c>
      <c r="S2" s="7" t="s">
        <v>39</v>
      </c>
      <c r="T2" s="7"/>
      <c r="U2" s="7" t="s">
        <v>40</v>
      </c>
      <c r="V2" s="7"/>
      <c r="W2" s="7" t="s">
        <v>41</v>
      </c>
      <c r="X2" s="7"/>
      <c r="Y2" s="7"/>
      <c r="Z2" s="7"/>
      <c r="AA2" s="7"/>
      <c r="AB2" s="7"/>
      <c r="AC2" s="7"/>
      <c r="AD2" s="7"/>
      <c r="AE2" s="7"/>
    </row>
    <row r="3" spans="1:31" s="8" customFormat="1" ht="15" customHeight="1" x14ac:dyDescent="0.25">
      <c r="A3" s="4" t="s">
        <v>42</v>
      </c>
      <c r="B3" s="4"/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>
        <v>4574580</v>
      </c>
      <c r="I3" s="5">
        <v>2000</v>
      </c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8" customFormat="1" ht="15" customHeight="1" x14ac:dyDescent="0.25">
      <c r="A4" s="4">
        <v>3393</v>
      </c>
      <c r="B4" s="4" t="s">
        <v>48</v>
      </c>
      <c r="C4" s="55" t="s">
        <v>43</v>
      </c>
      <c r="D4" s="4" t="s">
        <v>49</v>
      </c>
      <c r="E4" s="4" t="s">
        <v>50</v>
      </c>
      <c r="F4" s="4" t="s">
        <v>51</v>
      </c>
      <c r="G4" s="4" t="s">
        <v>36</v>
      </c>
      <c r="H4" s="4" t="s">
        <v>36</v>
      </c>
      <c r="I4" s="5">
        <v>2006</v>
      </c>
      <c r="J4" s="6"/>
      <c r="K4" s="6"/>
      <c r="L4" s="7" t="s">
        <v>36</v>
      </c>
      <c r="M4" s="7" t="s">
        <v>52</v>
      </c>
      <c r="N4" s="7" t="s">
        <v>53</v>
      </c>
      <c r="O4" s="7" t="s">
        <v>54</v>
      </c>
      <c r="P4" s="7" t="s">
        <v>55</v>
      </c>
      <c r="Q4" s="7" t="s">
        <v>56</v>
      </c>
      <c r="R4" s="7" t="s">
        <v>38</v>
      </c>
      <c r="S4" s="7" t="s">
        <v>39</v>
      </c>
      <c r="T4" s="7" t="s">
        <v>36</v>
      </c>
      <c r="U4" s="7" t="s">
        <v>40</v>
      </c>
      <c r="V4" s="7" t="s">
        <v>57</v>
      </c>
      <c r="W4" s="7" t="s">
        <v>58</v>
      </c>
      <c r="X4" s="7" t="s">
        <v>59</v>
      </c>
      <c r="Y4" s="7" t="s">
        <v>60</v>
      </c>
      <c r="Z4" s="7" t="s">
        <v>61</v>
      </c>
      <c r="AA4" s="7" t="s">
        <v>62</v>
      </c>
      <c r="AB4" s="7" t="s">
        <v>63</v>
      </c>
      <c r="AC4" s="7" t="s">
        <v>64</v>
      </c>
      <c r="AD4" s="7" t="s">
        <v>65</v>
      </c>
      <c r="AE4" s="7" t="s">
        <v>66</v>
      </c>
    </row>
    <row r="5" spans="1:31" s="8" customFormat="1" ht="15" customHeight="1" x14ac:dyDescent="0.25">
      <c r="A5" s="4">
        <v>1146</v>
      </c>
      <c r="B5" s="4"/>
      <c r="C5" s="4" t="s">
        <v>67</v>
      </c>
      <c r="D5" s="9" t="s">
        <v>68</v>
      </c>
      <c r="E5" s="4" t="s">
        <v>69</v>
      </c>
      <c r="F5" s="4" t="s">
        <v>70</v>
      </c>
      <c r="G5" s="4" t="s">
        <v>71</v>
      </c>
      <c r="H5" s="4" t="s">
        <v>36</v>
      </c>
      <c r="I5" s="5">
        <v>2013</v>
      </c>
      <c r="J5" s="6"/>
      <c r="K5" s="6"/>
      <c r="L5" s="7" t="s">
        <v>36</v>
      </c>
      <c r="M5" s="7" t="s">
        <v>36</v>
      </c>
      <c r="N5" s="7" t="s">
        <v>36</v>
      </c>
      <c r="O5" s="7" t="s">
        <v>72</v>
      </c>
      <c r="P5" s="7" t="s">
        <v>36</v>
      </c>
      <c r="Q5" s="7" t="s">
        <v>73</v>
      </c>
      <c r="R5" s="7" t="s">
        <v>36</v>
      </c>
      <c r="S5" s="7" t="s">
        <v>36</v>
      </c>
      <c r="T5" s="7" t="s">
        <v>36</v>
      </c>
      <c r="U5" s="7" t="s">
        <v>40</v>
      </c>
      <c r="V5" s="7" t="s">
        <v>74</v>
      </c>
      <c r="W5" s="7" t="s">
        <v>41</v>
      </c>
      <c r="X5" s="7" t="s">
        <v>36</v>
      </c>
      <c r="Y5" s="7" t="s">
        <v>36</v>
      </c>
      <c r="Z5" s="7" t="s">
        <v>75</v>
      </c>
      <c r="AA5" s="7" t="s">
        <v>62</v>
      </c>
      <c r="AB5" s="7" t="s">
        <v>76</v>
      </c>
      <c r="AC5" s="7" t="s">
        <v>64</v>
      </c>
      <c r="AD5" s="7" t="s">
        <v>77</v>
      </c>
      <c r="AE5" s="7" t="s">
        <v>66</v>
      </c>
    </row>
    <row r="6" spans="1:31" s="8" customFormat="1" ht="15" customHeight="1" x14ac:dyDescent="0.25">
      <c r="A6" s="4"/>
      <c r="B6" s="4" t="s">
        <v>78</v>
      </c>
      <c r="C6" s="4" t="s">
        <v>67</v>
      </c>
      <c r="D6" s="9" t="s">
        <v>79</v>
      </c>
      <c r="E6" s="4" t="s">
        <v>80</v>
      </c>
      <c r="F6" s="4" t="s">
        <v>70</v>
      </c>
      <c r="G6" s="4" t="s">
        <v>81</v>
      </c>
      <c r="H6" s="4">
        <v>259713</v>
      </c>
      <c r="I6" s="5">
        <v>2002</v>
      </c>
      <c r="J6" s="6"/>
      <c r="K6" s="6"/>
      <c r="L6" s="7" t="s">
        <v>36</v>
      </c>
      <c r="M6" s="7" t="s">
        <v>36</v>
      </c>
      <c r="N6" s="7" t="s">
        <v>36</v>
      </c>
      <c r="O6" s="7" t="s">
        <v>72</v>
      </c>
      <c r="P6" s="7" t="s">
        <v>36</v>
      </c>
      <c r="Q6" s="7" t="s">
        <v>73</v>
      </c>
      <c r="R6" s="7" t="s">
        <v>36</v>
      </c>
      <c r="S6" s="7" t="s">
        <v>36</v>
      </c>
      <c r="T6" s="7" t="s">
        <v>36</v>
      </c>
      <c r="U6" s="7" t="s">
        <v>40</v>
      </c>
      <c r="V6" s="7" t="s">
        <v>74</v>
      </c>
      <c r="W6" s="7" t="s">
        <v>41</v>
      </c>
      <c r="X6" s="7" t="s">
        <v>36</v>
      </c>
      <c r="Y6" s="7" t="s">
        <v>36</v>
      </c>
      <c r="Z6" s="7" t="s">
        <v>75</v>
      </c>
      <c r="AA6" s="7" t="s">
        <v>62</v>
      </c>
      <c r="AB6" s="7" t="s">
        <v>76</v>
      </c>
      <c r="AC6" s="7" t="s">
        <v>64</v>
      </c>
      <c r="AD6" s="7" t="s">
        <v>77</v>
      </c>
      <c r="AE6" s="7" t="s">
        <v>66</v>
      </c>
    </row>
    <row r="7" spans="1:31" s="8" customFormat="1" ht="15" customHeight="1" x14ac:dyDescent="0.25">
      <c r="A7" s="4" t="s">
        <v>82</v>
      </c>
      <c r="B7" s="4"/>
      <c r="C7" s="4" t="s">
        <v>83</v>
      </c>
      <c r="D7" s="4" t="s">
        <v>84</v>
      </c>
      <c r="E7" s="4" t="s">
        <v>85</v>
      </c>
      <c r="F7" s="4" t="s">
        <v>86</v>
      </c>
      <c r="G7" s="4" t="s">
        <v>87</v>
      </c>
      <c r="H7" s="4" t="s">
        <v>88</v>
      </c>
      <c r="I7" s="5">
        <v>2007</v>
      </c>
      <c r="J7" s="6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s="8" customFormat="1" ht="15" customHeight="1" x14ac:dyDescent="0.25">
      <c r="A8" s="4">
        <v>5481</v>
      </c>
      <c r="B8" s="4" t="s">
        <v>89</v>
      </c>
      <c r="C8" s="4" t="s">
        <v>43</v>
      </c>
      <c r="D8" s="9" t="s">
        <v>90</v>
      </c>
      <c r="E8" s="4" t="s">
        <v>91</v>
      </c>
      <c r="F8" s="4" t="s">
        <v>92</v>
      </c>
      <c r="G8" s="4" t="s">
        <v>93</v>
      </c>
      <c r="H8" s="4">
        <v>2250026</v>
      </c>
      <c r="I8" s="5">
        <v>2013</v>
      </c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s="8" customFormat="1" ht="15" customHeight="1" x14ac:dyDescent="0.25">
      <c r="A9" s="4">
        <v>5413</v>
      </c>
      <c r="B9" s="4" t="s">
        <v>94</v>
      </c>
      <c r="C9" s="4" t="s">
        <v>31</v>
      </c>
      <c r="D9" s="4" t="s">
        <v>95</v>
      </c>
      <c r="E9" s="4" t="s">
        <v>96</v>
      </c>
      <c r="F9" s="4" t="s">
        <v>97</v>
      </c>
      <c r="G9" s="4" t="s">
        <v>98</v>
      </c>
      <c r="H9" s="4" t="s">
        <v>99</v>
      </c>
      <c r="I9" s="5">
        <v>2004</v>
      </c>
      <c r="J9" s="6"/>
      <c r="K9" s="6"/>
      <c r="L9" s="7" t="s">
        <v>36</v>
      </c>
      <c r="M9" s="7" t="s">
        <v>37</v>
      </c>
      <c r="N9" s="7" t="s">
        <v>100</v>
      </c>
      <c r="O9" s="7" t="s">
        <v>101</v>
      </c>
      <c r="P9" s="7" t="s">
        <v>102</v>
      </c>
      <c r="Q9" s="7" t="s">
        <v>103</v>
      </c>
      <c r="R9" s="7" t="s">
        <v>38</v>
      </c>
      <c r="S9" s="7" t="s">
        <v>39</v>
      </c>
      <c r="T9" s="7" t="s">
        <v>36</v>
      </c>
      <c r="U9" s="7" t="s">
        <v>40</v>
      </c>
      <c r="V9" s="7" t="s">
        <v>104</v>
      </c>
      <c r="W9" s="7" t="s">
        <v>41</v>
      </c>
      <c r="X9" s="7" t="s">
        <v>105</v>
      </c>
      <c r="Y9" s="7" t="s">
        <v>60</v>
      </c>
      <c r="Z9" s="7" t="s">
        <v>106</v>
      </c>
      <c r="AA9" s="7" t="s">
        <v>62</v>
      </c>
      <c r="AB9" s="7" t="s">
        <v>107</v>
      </c>
      <c r="AC9" s="7" t="s">
        <v>64</v>
      </c>
      <c r="AD9" s="7" t="s">
        <v>108</v>
      </c>
      <c r="AE9" s="7" t="s">
        <v>66</v>
      </c>
    </row>
    <row r="10" spans="1:31" s="8" customFormat="1" ht="15" customHeight="1" x14ac:dyDescent="0.25">
      <c r="A10" s="4"/>
      <c r="B10" s="4" t="s">
        <v>109</v>
      </c>
      <c r="C10" s="4" t="s">
        <v>31</v>
      </c>
      <c r="D10" s="4" t="s">
        <v>110</v>
      </c>
      <c r="E10" s="4" t="s">
        <v>111</v>
      </c>
      <c r="F10" s="4" t="s">
        <v>112</v>
      </c>
      <c r="G10" s="4" t="s">
        <v>36</v>
      </c>
      <c r="H10" s="4" t="s">
        <v>36</v>
      </c>
      <c r="I10" s="5">
        <v>2001</v>
      </c>
      <c r="J10" s="6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s="8" customFormat="1" ht="15" customHeight="1" x14ac:dyDescent="0.25">
      <c r="A11" s="4" t="s">
        <v>36</v>
      </c>
      <c r="B11" s="4"/>
      <c r="C11" s="4" t="s">
        <v>43</v>
      </c>
      <c r="D11" s="4" t="s">
        <v>90</v>
      </c>
      <c r="E11" s="4" t="s">
        <v>113</v>
      </c>
      <c r="F11" s="4" t="s">
        <v>114</v>
      </c>
      <c r="G11" s="4" t="s">
        <v>115</v>
      </c>
      <c r="H11" s="4" t="s">
        <v>116</v>
      </c>
      <c r="I11" s="5">
        <v>2003</v>
      </c>
      <c r="J11" s="6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s="8" customFormat="1" ht="15" customHeight="1" x14ac:dyDescent="0.25">
      <c r="A12" s="4" t="s">
        <v>117</v>
      </c>
      <c r="B12" s="4"/>
      <c r="C12" s="4" t="s">
        <v>83</v>
      </c>
      <c r="D12" s="9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5">
        <v>2013</v>
      </c>
      <c r="J12" s="6"/>
      <c r="K12" s="6"/>
      <c r="L12" s="7" t="s">
        <v>123</v>
      </c>
      <c r="M12" s="7" t="s">
        <v>37</v>
      </c>
      <c r="N12" s="7" t="s">
        <v>124</v>
      </c>
      <c r="O12" s="7" t="s">
        <v>125</v>
      </c>
      <c r="P12" s="7" t="s">
        <v>126</v>
      </c>
      <c r="Q12" s="7" t="s">
        <v>127</v>
      </c>
      <c r="R12" s="7" t="s">
        <v>38</v>
      </c>
      <c r="S12" s="7" t="s">
        <v>39</v>
      </c>
      <c r="T12" s="7" t="s">
        <v>128</v>
      </c>
      <c r="U12" s="7" t="s">
        <v>40</v>
      </c>
      <c r="V12" s="7" t="s">
        <v>129</v>
      </c>
      <c r="W12" s="7" t="s">
        <v>41</v>
      </c>
      <c r="X12" s="7" t="s">
        <v>130</v>
      </c>
      <c r="Y12" s="7" t="s">
        <v>60</v>
      </c>
      <c r="Z12" s="7" t="s">
        <v>61</v>
      </c>
      <c r="AA12" s="7" t="s">
        <v>62</v>
      </c>
      <c r="AB12" s="7" t="s">
        <v>63</v>
      </c>
      <c r="AC12" s="7" t="s">
        <v>64</v>
      </c>
      <c r="AD12" s="7" t="s">
        <v>108</v>
      </c>
      <c r="AE12" s="7" t="s">
        <v>66</v>
      </c>
    </row>
    <row r="13" spans="1:31" s="8" customFormat="1" ht="15" customHeight="1" x14ac:dyDescent="0.25">
      <c r="A13" s="4" t="s">
        <v>131</v>
      </c>
      <c r="B13" s="4"/>
      <c r="C13" s="4" t="s">
        <v>132</v>
      </c>
      <c r="D13" s="9" t="s">
        <v>118</v>
      </c>
      <c r="E13" s="4" t="s">
        <v>119</v>
      </c>
      <c r="F13" s="4" t="s">
        <v>120</v>
      </c>
      <c r="G13" s="4" t="s">
        <v>121</v>
      </c>
      <c r="H13" s="4" t="s">
        <v>133</v>
      </c>
      <c r="I13" s="5">
        <v>2012</v>
      </c>
      <c r="J13" s="6"/>
      <c r="K13" s="6"/>
      <c r="L13" s="7" t="s">
        <v>123</v>
      </c>
      <c r="M13" s="7" t="s">
        <v>37</v>
      </c>
      <c r="N13" s="7" t="s">
        <v>124</v>
      </c>
      <c r="O13" s="7" t="s">
        <v>125</v>
      </c>
      <c r="P13" s="7" t="s">
        <v>126</v>
      </c>
      <c r="Q13" s="7" t="s">
        <v>127</v>
      </c>
      <c r="R13" s="7" t="s">
        <v>38</v>
      </c>
      <c r="S13" s="7" t="s">
        <v>39</v>
      </c>
      <c r="T13" s="7" t="s">
        <v>128</v>
      </c>
      <c r="U13" s="7" t="s">
        <v>40</v>
      </c>
      <c r="V13" s="7" t="s">
        <v>129</v>
      </c>
      <c r="W13" s="7" t="s">
        <v>41</v>
      </c>
      <c r="X13" s="7" t="s">
        <v>130</v>
      </c>
      <c r="Y13" s="7" t="s">
        <v>60</v>
      </c>
      <c r="Z13" s="7" t="s">
        <v>61</v>
      </c>
      <c r="AA13" s="7" t="s">
        <v>62</v>
      </c>
      <c r="AB13" s="7" t="s">
        <v>63</v>
      </c>
      <c r="AC13" s="7" t="s">
        <v>64</v>
      </c>
      <c r="AD13" s="7" t="s">
        <v>108</v>
      </c>
      <c r="AE13" s="7" t="s">
        <v>66</v>
      </c>
    </row>
    <row r="14" spans="1:31" s="8" customFormat="1" ht="15" customHeight="1" x14ac:dyDescent="0.25">
      <c r="A14" s="4">
        <v>1210</v>
      </c>
      <c r="B14" s="4"/>
      <c r="C14" s="4" t="s">
        <v>134</v>
      </c>
      <c r="D14" s="9" t="s">
        <v>118</v>
      </c>
      <c r="E14" s="4" t="s">
        <v>119</v>
      </c>
      <c r="F14" s="4" t="s">
        <v>135</v>
      </c>
      <c r="G14" s="4" t="s">
        <v>136</v>
      </c>
      <c r="H14" s="4">
        <v>101127877</v>
      </c>
      <c r="I14" s="5">
        <v>2006</v>
      </c>
      <c r="J14" s="6"/>
      <c r="K14" s="6"/>
      <c r="L14" s="7" t="s">
        <v>123</v>
      </c>
      <c r="M14" s="7" t="s">
        <v>37</v>
      </c>
      <c r="N14" s="7" t="s">
        <v>124</v>
      </c>
      <c r="O14" s="7" t="s">
        <v>125</v>
      </c>
      <c r="P14" s="7" t="s">
        <v>126</v>
      </c>
      <c r="Q14" s="7" t="s">
        <v>127</v>
      </c>
      <c r="R14" s="7" t="s">
        <v>38</v>
      </c>
      <c r="S14" s="7" t="s">
        <v>39</v>
      </c>
      <c r="T14" s="7" t="s">
        <v>128</v>
      </c>
      <c r="U14" s="7" t="s">
        <v>40</v>
      </c>
      <c r="V14" s="7" t="s">
        <v>129</v>
      </c>
      <c r="W14" s="7" t="s">
        <v>41</v>
      </c>
      <c r="X14" s="7" t="s">
        <v>130</v>
      </c>
      <c r="Y14" s="7" t="s">
        <v>60</v>
      </c>
      <c r="Z14" s="7" t="s">
        <v>61</v>
      </c>
      <c r="AA14" s="7" t="s">
        <v>62</v>
      </c>
      <c r="AB14" s="7" t="s">
        <v>63</v>
      </c>
      <c r="AC14" s="7" t="s">
        <v>64</v>
      </c>
      <c r="AD14" s="7" t="s">
        <v>108</v>
      </c>
      <c r="AE14" s="7" t="s">
        <v>66</v>
      </c>
    </row>
    <row r="15" spans="1:31" s="8" customFormat="1" ht="15" customHeight="1" x14ac:dyDescent="0.25">
      <c r="A15" s="4" t="s">
        <v>137</v>
      </c>
      <c r="B15" s="4"/>
      <c r="C15" s="4" t="s">
        <v>138</v>
      </c>
      <c r="D15" s="4" t="s">
        <v>118</v>
      </c>
      <c r="E15" s="4" t="s">
        <v>119</v>
      </c>
      <c r="F15" s="4" t="s">
        <v>139</v>
      </c>
      <c r="G15" s="4" t="s">
        <v>140</v>
      </c>
      <c r="H15" s="4" t="s">
        <v>141</v>
      </c>
      <c r="I15" s="5">
        <v>1999</v>
      </c>
      <c r="J15" s="6"/>
      <c r="K15" s="6"/>
      <c r="L15" s="7" t="s">
        <v>123</v>
      </c>
      <c r="M15" s="7" t="s">
        <v>37</v>
      </c>
      <c r="N15" s="7" t="s">
        <v>124</v>
      </c>
      <c r="O15" s="7" t="s">
        <v>125</v>
      </c>
      <c r="P15" s="7" t="s">
        <v>126</v>
      </c>
      <c r="Q15" s="7" t="s">
        <v>127</v>
      </c>
      <c r="R15" s="7" t="s">
        <v>38</v>
      </c>
      <c r="S15" s="7" t="s">
        <v>39</v>
      </c>
      <c r="T15" s="7" t="s">
        <v>128</v>
      </c>
      <c r="U15" s="7" t="s">
        <v>40</v>
      </c>
      <c r="V15" s="7" t="s">
        <v>129</v>
      </c>
      <c r="W15" s="7" t="s">
        <v>41</v>
      </c>
      <c r="X15" s="7" t="s">
        <v>130</v>
      </c>
      <c r="Y15" s="7" t="s">
        <v>60</v>
      </c>
      <c r="Z15" s="7" t="s">
        <v>61</v>
      </c>
      <c r="AA15" s="7" t="s">
        <v>62</v>
      </c>
      <c r="AB15" s="7" t="s">
        <v>63</v>
      </c>
      <c r="AC15" s="7" t="s">
        <v>64</v>
      </c>
      <c r="AD15" s="7" t="s">
        <v>108</v>
      </c>
      <c r="AE15" s="7" t="s">
        <v>66</v>
      </c>
    </row>
    <row r="16" spans="1:31" s="8" customFormat="1" ht="15" customHeight="1" x14ac:dyDescent="0.25">
      <c r="A16" s="4">
        <v>3336</v>
      </c>
      <c r="B16" s="4" t="s">
        <v>142</v>
      </c>
      <c r="C16" s="4" t="s">
        <v>43</v>
      </c>
      <c r="D16" s="9" t="s">
        <v>44</v>
      </c>
      <c r="E16" s="4" t="s">
        <v>119</v>
      </c>
      <c r="F16" s="4" t="s">
        <v>143</v>
      </c>
      <c r="G16" s="4" t="s">
        <v>144</v>
      </c>
      <c r="H16" s="4" t="s">
        <v>145</v>
      </c>
      <c r="I16" s="5">
        <v>1999</v>
      </c>
      <c r="J16" s="6"/>
      <c r="K16" s="6"/>
      <c r="L16" s="7" t="s">
        <v>123</v>
      </c>
      <c r="M16" s="7" t="s">
        <v>37</v>
      </c>
      <c r="N16" s="7" t="s">
        <v>124</v>
      </c>
      <c r="O16" s="7" t="s">
        <v>125</v>
      </c>
      <c r="P16" s="7" t="s">
        <v>126</v>
      </c>
      <c r="Q16" s="7" t="s">
        <v>127</v>
      </c>
      <c r="R16" s="7" t="s">
        <v>38</v>
      </c>
      <c r="S16" s="7" t="s">
        <v>39</v>
      </c>
      <c r="T16" s="7" t="s">
        <v>128</v>
      </c>
      <c r="U16" s="7" t="s">
        <v>40</v>
      </c>
      <c r="V16" s="7" t="s">
        <v>129</v>
      </c>
      <c r="W16" s="7" t="s">
        <v>41</v>
      </c>
      <c r="X16" s="7" t="s">
        <v>130</v>
      </c>
      <c r="Y16" s="7" t="s">
        <v>60</v>
      </c>
      <c r="Z16" s="7" t="s">
        <v>61</v>
      </c>
      <c r="AA16" s="7" t="s">
        <v>62</v>
      </c>
      <c r="AB16" s="7" t="s">
        <v>63</v>
      </c>
      <c r="AC16" s="7" t="s">
        <v>64</v>
      </c>
      <c r="AD16" s="7" t="s">
        <v>108</v>
      </c>
      <c r="AE16" s="7" t="s">
        <v>66</v>
      </c>
    </row>
    <row r="17" spans="1:31" s="8" customFormat="1" ht="15" customHeight="1" x14ac:dyDescent="0.25">
      <c r="A17" s="4" t="s">
        <v>146</v>
      </c>
      <c r="B17" s="4"/>
      <c r="C17" s="4" t="s">
        <v>147</v>
      </c>
      <c r="D17" s="4" t="s">
        <v>148</v>
      </c>
      <c r="E17" s="4" t="s">
        <v>149</v>
      </c>
      <c r="F17" s="4" t="s">
        <v>46</v>
      </c>
      <c r="G17" s="4" t="s">
        <v>150</v>
      </c>
      <c r="H17" s="4" t="s">
        <v>151</v>
      </c>
      <c r="I17" s="5">
        <v>2012</v>
      </c>
      <c r="J17" s="6"/>
      <c r="K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" customFormat="1" ht="15" customHeight="1" x14ac:dyDescent="0.25">
      <c r="A18" s="4">
        <v>1420</v>
      </c>
      <c r="B18" s="4"/>
      <c r="C18" s="4" t="s">
        <v>43</v>
      </c>
      <c r="D18" s="9" t="s">
        <v>44</v>
      </c>
      <c r="E18" s="4" t="s">
        <v>152</v>
      </c>
      <c r="F18" s="4" t="s">
        <v>153</v>
      </c>
      <c r="G18" s="4" t="s">
        <v>154</v>
      </c>
      <c r="H18" s="4" t="s">
        <v>155</v>
      </c>
      <c r="I18" s="5">
        <v>2003</v>
      </c>
      <c r="J18" s="6"/>
      <c r="K18" s="6"/>
      <c r="L18" s="7" t="s">
        <v>156</v>
      </c>
      <c r="M18" s="7" t="s">
        <v>37</v>
      </c>
      <c r="N18" s="7" t="s">
        <v>157</v>
      </c>
      <c r="O18" s="7" t="s">
        <v>158</v>
      </c>
      <c r="P18" s="7" t="s">
        <v>159</v>
      </c>
      <c r="Q18" s="7" t="s">
        <v>160</v>
      </c>
      <c r="R18" s="7" t="s">
        <v>38</v>
      </c>
      <c r="S18" s="7" t="s">
        <v>39</v>
      </c>
      <c r="T18" s="7" t="s">
        <v>36</v>
      </c>
      <c r="U18" s="7" t="s">
        <v>40</v>
      </c>
      <c r="V18" s="7" t="s">
        <v>161</v>
      </c>
      <c r="W18" s="7" t="s">
        <v>41</v>
      </c>
      <c r="X18" s="7" t="s">
        <v>130</v>
      </c>
      <c r="Y18" s="7" t="s">
        <v>60</v>
      </c>
      <c r="Z18" s="7" t="s">
        <v>162</v>
      </c>
      <c r="AA18" s="7" t="s">
        <v>62</v>
      </c>
      <c r="AB18" s="7" t="s">
        <v>63</v>
      </c>
      <c r="AC18" s="7" t="s">
        <v>64</v>
      </c>
      <c r="AD18" s="7" t="s">
        <v>108</v>
      </c>
      <c r="AE18" s="7" t="s">
        <v>66</v>
      </c>
    </row>
    <row r="19" spans="1:31" s="8" customFormat="1" ht="15" customHeight="1" x14ac:dyDescent="0.25">
      <c r="A19" s="4">
        <v>1765</v>
      </c>
      <c r="B19" s="4"/>
      <c r="C19" s="4" t="s">
        <v>43</v>
      </c>
      <c r="D19" s="4" t="s">
        <v>44</v>
      </c>
      <c r="E19" s="4" t="s">
        <v>152</v>
      </c>
      <c r="F19" s="4" t="s">
        <v>163</v>
      </c>
      <c r="G19" s="4" t="s">
        <v>164</v>
      </c>
      <c r="H19" s="4" t="s">
        <v>165</v>
      </c>
      <c r="I19" s="5">
        <v>2001</v>
      </c>
      <c r="J19" s="6"/>
      <c r="K19" s="6"/>
      <c r="L19" s="7" t="s">
        <v>156</v>
      </c>
      <c r="M19" s="7" t="s">
        <v>37</v>
      </c>
      <c r="N19" s="7" t="s">
        <v>157</v>
      </c>
      <c r="O19" s="7" t="s">
        <v>158</v>
      </c>
      <c r="P19" s="7" t="s">
        <v>159</v>
      </c>
      <c r="Q19" s="7" t="s">
        <v>160</v>
      </c>
      <c r="R19" s="7" t="s">
        <v>38</v>
      </c>
      <c r="S19" s="7" t="s">
        <v>39</v>
      </c>
      <c r="T19" s="7" t="s">
        <v>36</v>
      </c>
      <c r="U19" s="7" t="s">
        <v>40</v>
      </c>
      <c r="V19" s="7" t="s">
        <v>161</v>
      </c>
      <c r="W19" s="7" t="s">
        <v>41</v>
      </c>
      <c r="X19" s="7" t="s">
        <v>130</v>
      </c>
      <c r="Y19" s="7" t="s">
        <v>60</v>
      </c>
      <c r="Z19" s="7" t="s">
        <v>162</v>
      </c>
      <c r="AA19" s="7" t="s">
        <v>62</v>
      </c>
      <c r="AB19" s="7" t="s">
        <v>63</v>
      </c>
      <c r="AC19" s="7" t="s">
        <v>64</v>
      </c>
      <c r="AD19" s="7" t="s">
        <v>108</v>
      </c>
      <c r="AE19" s="7" t="s">
        <v>66</v>
      </c>
    </row>
    <row r="20" spans="1:31" s="8" customFormat="1" ht="15" customHeight="1" x14ac:dyDescent="0.25">
      <c r="A20" s="4">
        <v>6099</v>
      </c>
      <c r="B20" s="4"/>
      <c r="C20" s="4" t="s">
        <v>67</v>
      </c>
      <c r="D20" s="4" t="s">
        <v>166</v>
      </c>
      <c r="E20" s="4" t="s">
        <v>167</v>
      </c>
      <c r="F20" s="4" t="s">
        <v>168</v>
      </c>
      <c r="G20" s="4" t="s">
        <v>169</v>
      </c>
      <c r="H20" s="4" t="s">
        <v>170</v>
      </c>
      <c r="I20" s="5">
        <v>2011</v>
      </c>
      <c r="J20" s="6"/>
      <c r="K20" s="6"/>
      <c r="L20" s="7" t="s">
        <v>171</v>
      </c>
      <c r="M20" s="7" t="s">
        <v>37</v>
      </c>
      <c r="N20" s="7" t="s">
        <v>172</v>
      </c>
      <c r="O20" s="7" t="s">
        <v>173</v>
      </c>
      <c r="P20" s="7" t="s">
        <v>174</v>
      </c>
      <c r="Q20" s="7" t="s">
        <v>175</v>
      </c>
      <c r="R20" s="7" t="s">
        <v>38</v>
      </c>
      <c r="S20" s="7" t="s">
        <v>39</v>
      </c>
      <c r="T20" s="7" t="s">
        <v>176</v>
      </c>
      <c r="U20" s="7" t="s">
        <v>40</v>
      </c>
      <c r="V20" s="7" t="s">
        <v>177</v>
      </c>
      <c r="W20" s="7" t="s">
        <v>41</v>
      </c>
      <c r="X20" s="7" t="s">
        <v>178</v>
      </c>
      <c r="Y20" s="7" t="s">
        <v>60</v>
      </c>
      <c r="Z20" s="7" t="s">
        <v>75</v>
      </c>
      <c r="AA20" s="7" t="s">
        <v>62</v>
      </c>
      <c r="AB20" s="7" t="s">
        <v>107</v>
      </c>
      <c r="AC20" s="7" t="s">
        <v>64</v>
      </c>
      <c r="AD20" s="7" t="s">
        <v>108</v>
      </c>
      <c r="AE20" s="7" t="s">
        <v>179</v>
      </c>
    </row>
    <row r="21" spans="1:31" s="8" customFormat="1" ht="15" customHeight="1" x14ac:dyDescent="0.25">
      <c r="A21" s="4">
        <v>1490</v>
      </c>
      <c r="B21" s="4"/>
      <c r="C21" s="4" t="s">
        <v>67</v>
      </c>
      <c r="D21" s="9" t="s">
        <v>180</v>
      </c>
      <c r="E21" s="4" t="s">
        <v>181</v>
      </c>
      <c r="F21" s="4" t="s">
        <v>182</v>
      </c>
      <c r="G21" s="4">
        <v>19090</v>
      </c>
      <c r="H21" s="4" t="s">
        <v>36</v>
      </c>
      <c r="I21" s="5">
        <v>2010</v>
      </c>
      <c r="J21" s="6"/>
      <c r="K21" s="6"/>
      <c r="L21" s="7" t="s">
        <v>183</v>
      </c>
      <c r="M21" s="7" t="s">
        <v>37</v>
      </c>
      <c r="N21" s="7" t="s">
        <v>184</v>
      </c>
      <c r="O21" s="7"/>
      <c r="P21" s="7"/>
      <c r="Q21" s="7" t="s">
        <v>185</v>
      </c>
      <c r="R21" s="7" t="s">
        <v>38</v>
      </c>
      <c r="S21" s="7" t="s">
        <v>39</v>
      </c>
      <c r="T21" s="7" t="s">
        <v>36</v>
      </c>
      <c r="U21" s="7" t="s">
        <v>40</v>
      </c>
      <c r="V21" s="7" t="s">
        <v>104</v>
      </c>
      <c r="W21" s="7" t="s">
        <v>41</v>
      </c>
      <c r="X21" s="7" t="s">
        <v>105</v>
      </c>
      <c r="Y21" s="7" t="s">
        <v>60</v>
      </c>
      <c r="Z21" s="7" t="s">
        <v>186</v>
      </c>
      <c r="AA21" s="7" t="s">
        <v>60</v>
      </c>
      <c r="AB21" s="7" t="s">
        <v>107</v>
      </c>
      <c r="AC21" s="7" t="s">
        <v>64</v>
      </c>
      <c r="AD21" s="7" t="s">
        <v>38</v>
      </c>
      <c r="AE21" s="7" t="s">
        <v>187</v>
      </c>
    </row>
    <row r="22" spans="1:31" s="8" customFormat="1" ht="15" customHeight="1" x14ac:dyDescent="0.25">
      <c r="A22" s="4">
        <v>4374</v>
      </c>
      <c r="B22" s="4" t="s">
        <v>188</v>
      </c>
      <c r="C22" s="4" t="s">
        <v>43</v>
      </c>
      <c r="D22" s="9" t="s">
        <v>90</v>
      </c>
      <c r="E22" s="4" t="s">
        <v>189</v>
      </c>
      <c r="F22" s="4" t="s">
        <v>190</v>
      </c>
      <c r="G22" s="4" t="s">
        <v>191</v>
      </c>
      <c r="H22" s="4" t="s">
        <v>192</v>
      </c>
      <c r="I22" s="5">
        <v>2013</v>
      </c>
      <c r="J22" s="6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s="8" customFormat="1" ht="15" customHeight="1" x14ac:dyDescent="0.25">
      <c r="A23" s="4">
        <v>1493</v>
      </c>
      <c r="B23" s="4" t="s">
        <v>193</v>
      </c>
      <c r="C23" s="4" t="s">
        <v>83</v>
      </c>
      <c r="D23" s="9" t="s">
        <v>194</v>
      </c>
      <c r="E23" s="4" t="s">
        <v>195</v>
      </c>
      <c r="F23" s="4" t="s">
        <v>196</v>
      </c>
      <c r="G23" s="4" t="s">
        <v>197</v>
      </c>
      <c r="H23" s="4" t="s">
        <v>36</v>
      </c>
      <c r="I23" s="5">
        <v>2005</v>
      </c>
      <c r="J23" s="6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8" customFormat="1" ht="15" customHeight="1" x14ac:dyDescent="0.25">
      <c r="A24" s="4">
        <v>1207</v>
      </c>
      <c r="B24" s="4"/>
      <c r="C24" s="4" t="s">
        <v>198</v>
      </c>
      <c r="D24" s="4" t="s">
        <v>118</v>
      </c>
      <c r="E24" s="4" t="s">
        <v>199</v>
      </c>
      <c r="F24" s="4" t="s">
        <v>200</v>
      </c>
      <c r="G24" s="4" t="s">
        <v>36</v>
      </c>
      <c r="H24" s="4" t="s">
        <v>36</v>
      </c>
      <c r="I24" s="5">
        <v>2010</v>
      </c>
      <c r="J24" s="6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s="8" customFormat="1" ht="15" customHeight="1" x14ac:dyDescent="0.25">
      <c r="A25" s="4" t="s">
        <v>36</v>
      </c>
      <c r="B25" s="4"/>
      <c r="C25" s="4" t="s">
        <v>43</v>
      </c>
      <c r="D25" s="9" t="s">
        <v>90</v>
      </c>
      <c r="E25" s="4" t="s">
        <v>201</v>
      </c>
      <c r="F25" s="4" t="s">
        <v>202</v>
      </c>
      <c r="G25" s="4" t="s">
        <v>203</v>
      </c>
      <c r="H25" s="4" t="s">
        <v>36</v>
      </c>
      <c r="I25" s="5">
        <v>2006</v>
      </c>
      <c r="J25" s="6"/>
      <c r="K25" s="6"/>
      <c r="L25" s="7" t="s">
        <v>204</v>
      </c>
      <c r="M25" s="7" t="s">
        <v>37</v>
      </c>
      <c r="N25" s="7" t="s">
        <v>205</v>
      </c>
      <c r="O25" s="7" t="s">
        <v>206</v>
      </c>
      <c r="P25" s="7" t="s">
        <v>207</v>
      </c>
      <c r="Q25" s="7" t="s">
        <v>208</v>
      </c>
      <c r="R25" s="7" t="s">
        <v>38</v>
      </c>
      <c r="S25" s="7" t="s">
        <v>39</v>
      </c>
      <c r="T25" s="7" t="s">
        <v>36</v>
      </c>
      <c r="U25" s="7" t="s">
        <v>40</v>
      </c>
      <c r="V25" s="7" t="s">
        <v>104</v>
      </c>
      <c r="W25" s="7" t="s">
        <v>41</v>
      </c>
      <c r="X25" s="7" t="s">
        <v>105</v>
      </c>
      <c r="Y25" s="7" t="s">
        <v>60</v>
      </c>
      <c r="Z25" s="7" t="s">
        <v>162</v>
      </c>
      <c r="AA25" s="7" t="s">
        <v>60</v>
      </c>
      <c r="AB25" s="7" t="s">
        <v>107</v>
      </c>
      <c r="AC25" s="7" t="s">
        <v>64</v>
      </c>
      <c r="AD25" s="7" t="s">
        <v>38</v>
      </c>
      <c r="AE25" s="7" t="s">
        <v>187</v>
      </c>
    </row>
    <row r="26" spans="1:31" s="8" customFormat="1" ht="15" customHeight="1" x14ac:dyDescent="0.25">
      <c r="A26" s="4">
        <v>1466</v>
      </c>
      <c r="B26" s="4"/>
      <c r="C26" s="4" t="s">
        <v>43</v>
      </c>
      <c r="D26" s="4" t="s">
        <v>44</v>
      </c>
      <c r="E26" s="4" t="s">
        <v>209</v>
      </c>
      <c r="F26" s="4" t="s">
        <v>210</v>
      </c>
      <c r="G26" s="4" t="s">
        <v>211</v>
      </c>
      <c r="H26" s="4" t="s">
        <v>212</v>
      </c>
      <c r="I26" s="5">
        <v>2004</v>
      </c>
      <c r="J26" s="6"/>
      <c r="K26" s="6"/>
      <c r="L26" s="7" t="s">
        <v>36</v>
      </c>
      <c r="M26" s="7" t="s">
        <v>213</v>
      </c>
      <c r="N26" s="7" t="s">
        <v>214</v>
      </c>
      <c r="O26" s="7" t="s">
        <v>215</v>
      </c>
      <c r="P26" s="7" t="s">
        <v>216</v>
      </c>
      <c r="Q26" s="7" t="s">
        <v>217</v>
      </c>
      <c r="R26" s="7" t="s">
        <v>38</v>
      </c>
      <c r="S26" s="7" t="s">
        <v>39</v>
      </c>
      <c r="T26" s="7" t="s">
        <v>36</v>
      </c>
      <c r="U26" s="7" t="s">
        <v>40</v>
      </c>
      <c r="V26" s="7" t="s">
        <v>218</v>
      </c>
      <c r="W26" s="7" t="s">
        <v>41</v>
      </c>
      <c r="X26" s="7" t="s">
        <v>105</v>
      </c>
      <c r="Y26" s="7" t="s">
        <v>60</v>
      </c>
      <c r="Z26" s="7" t="s">
        <v>162</v>
      </c>
      <c r="AA26" s="7" t="s">
        <v>60</v>
      </c>
      <c r="AB26" s="7" t="s">
        <v>107</v>
      </c>
      <c r="AC26" s="7" t="s">
        <v>64</v>
      </c>
      <c r="AD26" s="7" t="s">
        <v>38</v>
      </c>
      <c r="AE26" s="7" t="s">
        <v>187</v>
      </c>
    </row>
    <row r="27" spans="1:31" s="8" customFormat="1" ht="15" customHeight="1" x14ac:dyDescent="0.25">
      <c r="A27" s="4">
        <v>3344</v>
      </c>
      <c r="B27" s="4"/>
      <c r="C27" s="4" t="s">
        <v>43</v>
      </c>
      <c r="D27" s="4" t="s">
        <v>44</v>
      </c>
      <c r="E27" s="4" t="s">
        <v>209</v>
      </c>
      <c r="F27" s="4" t="s">
        <v>219</v>
      </c>
      <c r="G27" s="4" t="s">
        <v>220</v>
      </c>
      <c r="H27" s="4" t="s">
        <v>36</v>
      </c>
      <c r="I27" s="5">
        <v>2006</v>
      </c>
      <c r="J27" s="6"/>
      <c r="K27" s="6"/>
      <c r="L27" s="7" t="s">
        <v>36</v>
      </c>
      <c r="M27" s="7" t="s">
        <v>213</v>
      </c>
      <c r="N27" s="7" t="s">
        <v>214</v>
      </c>
      <c r="O27" s="7" t="s">
        <v>215</v>
      </c>
      <c r="P27" s="7" t="s">
        <v>216</v>
      </c>
      <c r="Q27" s="7" t="s">
        <v>217</v>
      </c>
      <c r="R27" s="7" t="s">
        <v>38</v>
      </c>
      <c r="S27" s="7" t="s">
        <v>39</v>
      </c>
      <c r="T27" s="7" t="s">
        <v>36</v>
      </c>
      <c r="U27" s="7" t="s">
        <v>40</v>
      </c>
      <c r="V27" s="7" t="s">
        <v>218</v>
      </c>
      <c r="W27" s="7" t="s">
        <v>41</v>
      </c>
      <c r="X27" s="7" t="s">
        <v>105</v>
      </c>
      <c r="Y27" s="7" t="s">
        <v>60</v>
      </c>
      <c r="Z27" s="7" t="s">
        <v>162</v>
      </c>
      <c r="AA27" s="7" t="s">
        <v>60</v>
      </c>
      <c r="AB27" s="7" t="s">
        <v>107</v>
      </c>
      <c r="AC27" s="7" t="s">
        <v>64</v>
      </c>
      <c r="AD27" s="7" t="s">
        <v>38</v>
      </c>
      <c r="AE27" s="7" t="s">
        <v>187</v>
      </c>
    </row>
    <row r="28" spans="1:31" s="8" customFormat="1" ht="15" customHeight="1" x14ac:dyDescent="0.25">
      <c r="A28" s="4">
        <v>1422</v>
      </c>
      <c r="B28" s="4"/>
      <c r="C28" s="4" t="s">
        <v>43</v>
      </c>
      <c r="D28" s="4" t="s">
        <v>44</v>
      </c>
      <c r="E28" s="4" t="s">
        <v>209</v>
      </c>
      <c r="F28" s="4" t="s">
        <v>221</v>
      </c>
      <c r="G28" s="4">
        <v>5116851</v>
      </c>
      <c r="H28" s="4" t="s">
        <v>222</v>
      </c>
      <c r="I28" s="5">
        <v>2004</v>
      </c>
      <c r="J28" s="6"/>
      <c r="K28" s="6"/>
      <c r="L28" s="7" t="s">
        <v>36</v>
      </c>
      <c r="M28" s="7" t="s">
        <v>213</v>
      </c>
      <c r="N28" s="7" t="s">
        <v>214</v>
      </c>
      <c r="O28" s="7" t="s">
        <v>215</v>
      </c>
      <c r="P28" s="7" t="s">
        <v>216</v>
      </c>
      <c r="Q28" s="7" t="s">
        <v>217</v>
      </c>
      <c r="R28" s="7" t="s">
        <v>38</v>
      </c>
      <c r="S28" s="7" t="s">
        <v>39</v>
      </c>
      <c r="T28" s="7" t="s">
        <v>36</v>
      </c>
      <c r="U28" s="7" t="s">
        <v>40</v>
      </c>
      <c r="V28" s="7" t="s">
        <v>218</v>
      </c>
      <c r="W28" s="7" t="s">
        <v>41</v>
      </c>
      <c r="X28" s="7" t="s">
        <v>105</v>
      </c>
      <c r="Y28" s="7" t="s">
        <v>60</v>
      </c>
      <c r="Z28" s="7" t="s">
        <v>162</v>
      </c>
      <c r="AA28" s="7" t="s">
        <v>60</v>
      </c>
      <c r="AB28" s="7" t="s">
        <v>107</v>
      </c>
      <c r="AC28" s="7" t="s">
        <v>64</v>
      </c>
      <c r="AD28" s="7" t="s">
        <v>38</v>
      </c>
      <c r="AE28" s="7" t="s">
        <v>187</v>
      </c>
    </row>
    <row r="29" spans="1:31" s="8" customFormat="1" ht="15" customHeight="1" x14ac:dyDescent="0.25">
      <c r="A29" s="4">
        <v>1436</v>
      </c>
      <c r="B29" s="4"/>
      <c r="C29" s="4" t="s">
        <v>43</v>
      </c>
      <c r="D29" s="4" t="s">
        <v>44</v>
      </c>
      <c r="E29" s="4" t="s">
        <v>209</v>
      </c>
      <c r="F29" s="4" t="s">
        <v>221</v>
      </c>
      <c r="G29" s="4">
        <v>5116851</v>
      </c>
      <c r="H29" s="4" t="s">
        <v>223</v>
      </c>
      <c r="I29" s="5">
        <v>2004</v>
      </c>
      <c r="J29" s="6"/>
      <c r="K29" s="6"/>
      <c r="L29" s="7" t="s">
        <v>36</v>
      </c>
      <c r="M29" s="7" t="s">
        <v>213</v>
      </c>
      <c r="N29" s="7" t="s">
        <v>214</v>
      </c>
      <c r="O29" s="7" t="s">
        <v>215</v>
      </c>
      <c r="P29" s="7" t="s">
        <v>216</v>
      </c>
      <c r="Q29" s="7" t="s">
        <v>217</v>
      </c>
      <c r="R29" s="7" t="s">
        <v>38</v>
      </c>
      <c r="S29" s="7" t="s">
        <v>39</v>
      </c>
      <c r="T29" s="7" t="s">
        <v>36</v>
      </c>
      <c r="U29" s="7" t="s">
        <v>40</v>
      </c>
      <c r="V29" s="7" t="s">
        <v>218</v>
      </c>
      <c r="W29" s="7" t="s">
        <v>41</v>
      </c>
      <c r="X29" s="7" t="s">
        <v>105</v>
      </c>
      <c r="Y29" s="7" t="s">
        <v>60</v>
      </c>
      <c r="Z29" s="7" t="s">
        <v>162</v>
      </c>
      <c r="AA29" s="7" t="s">
        <v>60</v>
      </c>
      <c r="AB29" s="7" t="s">
        <v>107</v>
      </c>
      <c r="AC29" s="7" t="s">
        <v>64</v>
      </c>
      <c r="AD29" s="7" t="s">
        <v>38</v>
      </c>
      <c r="AE29" s="7" t="s">
        <v>187</v>
      </c>
    </row>
    <row r="30" spans="1:31" s="8" customFormat="1" ht="15" customHeight="1" x14ac:dyDescent="0.25">
      <c r="A30" s="4">
        <v>1759</v>
      </c>
      <c r="B30" s="4"/>
      <c r="C30" s="4" t="s">
        <v>224</v>
      </c>
      <c r="D30" s="4" t="s">
        <v>118</v>
      </c>
      <c r="E30" s="4" t="s">
        <v>225</v>
      </c>
      <c r="F30" s="4" t="s">
        <v>182</v>
      </c>
      <c r="G30" s="4">
        <v>60300</v>
      </c>
      <c r="H30" s="4" t="s">
        <v>36</v>
      </c>
      <c r="I30" s="5">
        <v>2009</v>
      </c>
      <c r="J30" s="6"/>
      <c r="K30" s="6"/>
      <c r="L30" s="7" t="s">
        <v>36</v>
      </c>
      <c r="M30" s="7" t="s">
        <v>226</v>
      </c>
      <c r="N30" s="7"/>
      <c r="O30" s="7"/>
      <c r="P30" s="7"/>
      <c r="Q30" s="7"/>
      <c r="R30" s="7" t="s">
        <v>38</v>
      </c>
      <c r="S30" s="7"/>
      <c r="T30" s="7" t="s">
        <v>60</v>
      </c>
      <c r="U30" s="7" t="s">
        <v>40</v>
      </c>
      <c r="V30" s="7" t="s">
        <v>227</v>
      </c>
      <c r="W30" s="7" t="s">
        <v>41</v>
      </c>
      <c r="X30" s="7" t="s">
        <v>228</v>
      </c>
      <c r="Y30" s="7" t="s">
        <v>60</v>
      </c>
      <c r="Z30" s="7" t="s">
        <v>162</v>
      </c>
      <c r="AA30" s="7" t="s">
        <v>60</v>
      </c>
      <c r="AB30" s="7" t="s">
        <v>76</v>
      </c>
      <c r="AC30" s="7" t="s">
        <v>64</v>
      </c>
      <c r="AD30" s="7" t="s">
        <v>229</v>
      </c>
      <c r="AE30" s="7" t="s">
        <v>187</v>
      </c>
    </row>
    <row r="31" spans="1:31" s="8" customFormat="1" ht="15" customHeight="1" x14ac:dyDescent="0.25">
      <c r="A31" s="4" t="s">
        <v>230</v>
      </c>
      <c r="B31" s="4"/>
      <c r="C31" s="4" t="s">
        <v>43</v>
      </c>
      <c r="D31" s="4" t="s">
        <v>44</v>
      </c>
      <c r="E31" s="4" t="s">
        <v>231</v>
      </c>
      <c r="F31" s="4" t="s">
        <v>120</v>
      </c>
      <c r="G31" s="4" t="s">
        <v>232</v>
      </c>
      <c r="H31" s="4" t="s">
        <v>233</v>
      </c>
      <c r="I31" s="5">
        <v>2012</v>
      </c>
      <c r="J31" s="6"/>
      <c r="K31" s="6"/>
      <c r="L31" s="7" t="s">
        <v>36</v>
      </c>
      <c r="M31" s="7" t="s">
        <v>37</v>
      </c>
      <c r="N31" s="7" t="s">
        <v>234</v>
      </c>
      <c r="O31" s="7" t="s">
        <v>235</v>
      </c>
      <c r="P31" s="7" t="s">
        <v>236</v>
      </c>
      <c r="Q31" s="7" t="s">
        <v>237</v>
      </c>
      <c r="R31" s="7" t="s">
        <v>38</v>
      </c>
      <c r="S31" s="7" t="s">
        <v>39</v>
      </c>
      <c r="T31" s="7" t="s">
        <v>238</v>
      </c>
      <c r="U31" s="7" t="s">
        <v>40</v>
      </c>
      <c r="V31" s="7" t="s">
        <v>239</v>
      </c>
      <c r="W31" s="7" t="s">
        <v>41</v>
      </c>
      <c r="X31" s="7" t="s">
        <v>240</v>
      </c>
      <c r="Y31" s="7" t="s">
        <v>60</v>
      </c>
      <c r="Z31" s="7" t="s">
        <v>61</v>
      </c>
      <c r="AA31" s="7" t="s">
        <v>62</v>
      </c>
      <c r="AB31" s="7" t="s">
        <v>63</v>
      </c>
      <c r="AC31" s="7" t="s">
        <v>64</v>
      </c>
      <c r="AD31" s="7" t="s">
        <v>65</v>
      </c>
      <c r="AE31" s="7" t="s">
        <v>179</v>
      </c>
    </row>
    <row r="32" spans="1:31" s="8" customFormat="1" ht="15" customHeight="1" x14ac:dyDescent="0.25">
      <c r="A32" s="4">
        <v>4001</v>
      </c>
      <c r="B32" s="4" t="s">
        <v>241</v>
      </c>
      <c r="C32" s="4" t="s">
        <v>138</v>
      </c>
      <c r="D32" s="4" t="s">
        <v>118</v>
      </c>
      <c r="E32" s="4" t="s">
        <v>242</v>
      </c>
      <c r="F32" s="4" t="s">
        <v>243</v>
      </c>
      <c r="G32" s="4">
        <v>5375</v>
      </c>
      <c r="H32" s="4" t="s">
        <v>244</v>
      </c>
      <c r="I32" s="5">
        <v>2007</v>
      </c>
      <c r="J32" s="6"/>
      <c r="K32" s="6"/>
      <c r="L32" s="7" t="s">
        <v>245</v>
      </c>
      <c r="M32" s="7" t="s">
        <v>36</v>
      </c>
      <c r="N32" s="7" t="s">
        <v>36</v>
      </c>
      <c r="O32" s="7" t="s">
        <v>246</v>
      </c>
      <c r="P32" s="7" t="s">
        <v>247</v>
      </c>
      <c r="Q32" s="7" t="s">
        <v>248</v>
      </c>
      <c r="R32" s="7" t="s">
        <v>249</v>
      </c>
      <c r="S32" s="7" t="s">
        <v>36</v>
      </c>
      <c r="T32" s="7" t="s">
        <v>250</v>
      </c>
      <c r="U32" s="7" t="s">
        <v>40</v>
      </c>
      <c r="V32" s="7" t="s">
        <v>251</v>
      </c>
      <c r="W32" s="7" t="s">
        <v>41</v>
      </c>
      <c r="X32" s="7" t="s">
        <v>252</v>
      </c>
      <c r="Y32" s="7" t="s">
        <v>60</v>
      </c>
      <c r="Z32" s="7" t="s">
        <v>75</v>
      </c>
      <c r="AA32" s="7" t="s">
        <v>62</v>
      </c>
      <c r="AB32" s="7" t="s">
        <v>63</v>
      </c>
      <c r="AC32" s="7" t="s">
        <v>64</v>
      </c>
      <c r="AD32" s="7" t="s">
        <v>108</v>
      </c>
      <c r="AE32" s="7" t="s">
        <v>187</v>
      </c>
    </row>
    <row r="33" spans="1:31" s="8" customFormat="1" ht="15" customHeight="1" x14ac:dyDescent="0.25">
      <c r="A33" s="4">
        <v>4452</v>
      </c>
      <c r="B33" s="4" t="s">
        <v>253</v>
      </c>
      <c r="C33" s="4" t="s">
        <v>67</v>
      </c>
      <c r="D33" s="4" t="s">
        <v>254</v>
      </c>
      <c r="E33" s="4" t="s">
        <v>255</v>
      </c>
      <c r="F33" s="4" t="s">
        <v>243</v>
      </c>
      <c r="G33" s="4">
        <v>5330</v>
      </c>
      <c r="H33" s="4" t="s">
        <v>256</v>
      </c>
      <c r="I33" s="5">
        <v>2004</v>
      </c>
      <c r="J33" s="6"/>
      <c r="K33" s="6"/>
      <c r="L33" s="7" t="s">
        <v>245</v>
      </c>
      <c r="M33" s="7" t="s">
        <v>36</v>
      </c>
      <c r="N33" s="7" t="s">
        <v>36</v>
      </c>
      <c r="O33" s="7" t="s">
        <v>246</v>
      </c>
      <c r="P33" s="7" t="s">
        <v>247</v>
      </c>
      <c r="Q33" s="7" t="s">
        <v>248</v>
      </c>
      <c r="R33" s="7" t="s">
        <v>249</v>
      </c>
      <c r="S33" s="7" t="s">
        <v>36</v>
      </c>
      <c r="T33" s="7" t="s">
        <v>250</v>
      </c>
      <c r="U33" s="7" t="s">
        <v>40</v>
      </c>
      <c r="V33" s="7" t="s">
        <v>251</v>
      </c>
      <c r="W33" s="7" t="s">
        <v>41</v>
      </c>
      <c r="X33" s="7" t="s">
        <v>252</v>
      </c>
      <c r="Y33" s="7" t="s">
        <v>60</v>
      </c>
      <c r="Z33" s="7" t="s">
        <v>75</v>
      </c>
      <c r="AA33" s="7" t="s">
        <v>62</v>
      </c>
      <c r="AB33" s="7" t="s">
        <v>63</v>
      </c>
      <c r="AC33" s="7" t="s">
        <v>64</v>
      </c>
      <c r="AD33" s="7" t="s">
        <v>108</v>
      </c>
      <c r="AE33" s="7" t="s">
        <v>187</v>
      </c>
    </row>
    <row r="34" spans="1:31" s="8" customFormat="1" ht="15" customHeight="1" x14ac:dyDescent="0.25">
      <c r="A34" s="4">
        <v>1425</v>
      </c>
      <c r="B34" s="4"/>
      <c r="C34" s="4" t="s">
        <v>43</v>
      </c>
      <c r="D34" s="4" t="s">
        <v>44</v>
      </c>
      <c r="E34" s="4" t="s">
        <v>257</v>
      </c>
      <c r="F34" s="4" t="s">
        <v>258</v>
      </c>
      <c r="G34" s="4" t="s">
        <v>259</v>
      </c>
      <c r="H34" s="4" t="s">
        <v>260</v>
      </c>
      <c r="I34" s="5">
        <v>1997</v>
      </c>
      <c r="J34" s="6"/>
      <c r="K34" s="6"/>
      <c r="L34" s="7" t="s">
        <v>261</v>
      </c>
      <c r="M34" s="7" t="s">
        <v>37</v>
      </c>
      <c r="N34" s="7" t="s">
        <v>262</v>
      </c>
      <c r="O34" s="7" t="s">
        <v>263</v>
      </c>
      <c r="P34" s="7" t="s">
        <v>264</v>
      </c>
      <c r="Q34" s="7" t="s">
        <v>265</v>
      </c>
      <c r="R34" s="7" t="s">
        <v>38</v>
      </c>
      <c r="S34" s="7" t="s">
        <v>39</v>
      </c>
      <c r="T34" s="7" t="s">
        <v>266</v>
      </c>
      <c r="U34" s="7" t="s">
        <v>40</v>
      </c>
      <c r="V34" s="7" t="s">
        <v>267</v>
      </c>
      <c r="W34" s="7" t="s">
        <v>41</v>
      </c>
      <c r="X34" s="7" t="s">
        <v>105</v>
      </c>
      <c r="Y34" s="7" t="s">
        <v>60</v>
      </c>
      <c r="Z34" s="7" t="s">
        <v>162</v>
      </c>
      <c r="AA34" s="7" t="s">
        <v>60</v>
      </c>
      <c r="AB34" s="7" t="s">
        <v>107</v>
      </c>
      <c r="AC34" s="7" t="s">
        <v>64</v>
      </c>
      <c r="AD34" s="7" t="s">
        <v>268</v>
      </c>
      <c r="AE34" s="7" t="s">
        <v>269</v>
      </c>
    </row>
    <row r="35" spans="1:31" s="8" customFormat="1" ht="15" customHeight="1" x14ac:dyDescent="0.25">
      <c r="A35" s="4" t="s">
        <v>270</v>
      </c>
      <c r="B35" s="4"/>
      <c r="C35" s="4" t="s">
        <v>43</v>
      </c>
      <c r="D35" s="4" t="s">
        <v>44</v>
      </c>
      <c r="E35" s="4" t="s">
        <v>257</v>
      </c>
      <c r="F35" s="4" t="s">
        <v>258</v>
      </c>
      <c r="G35" s="4">
        <v>600</v>
      </c>
      <c r="H35" s="4" t="s">
        <v>36</v>
      </c>
      <c r="I35" s="5">
        <v>1994</v>
      </c>
      <c r="J35" s="6"/>
      <c r="K35" s="6"/>
      <c r="L35" s="7" t="s">
        <v>261</v>
      </c>
      <c r="M35" s="7" t="s">
        <v>37</v>
      </c>
      <c r="N35" s="7" t="s">
        <v>262</v>
      </c>
      <c r="O35" s="7" t="s">
        <v>263</v>
      </c>
      <c r="P35" s="7" t="s">
        <v>264</v>
      </c>
      <c r="Q35" s="7" t="s">
        <v>265</v>
      </c>
      <c r="R35" s="7" t="s">
        <v>38</v>
      </c>
      <c r="S35" s="7" t="s">
        <v>39</v>
      </c>
      <c r="T35" s="7" t="s">
        <v>266</v>
      </c>
      <c r="U35" s="7" t="s">
        <v>40</v>
      </c>
      <c r="V35" s="7" t="s">
        <v>267</v>
      </c>
      <c r="W35" s="7" t="s">
        <v>41</v>
      </c>
      <c r="X35" s="7" t="s">
        <v>105</v>
      </c>
      <c r="Y35" s="7" t="s">
        <v>60</v>
      </c>
      <c r="Z35" s="7" t="s">
        <v>162</v>
      </c>
      <c r="AA35" s="7" t="s">
        <v>60</v>
      </c>
      <c r="AB35" s="7" t="s">
        <v>107</v>
      </c>
      <c r="AC35" s="7" t="s">
        <v>64</v>
      </c>
      <c r="AD35" s="7" t="s">
        <v>268</v>
      </c>
      <c r="AE35" s="7" t="s">
        <v>269</v>
      </c>
    </row>
    <row r="36" spans="1:31" s="8" customFormat="1" ht="15" customHeight="1" x14ac:dyDescent="0.25">
      <c r="A36" s="4">
        <v>1468</v>
      </c>
      <c r="B36" s="4"/>
      <c r="C36" s="4" t="s">
        <v>43</v>
      </c>
      <c r="D36" s="4" t="s">
        <v>44</v>
      </c>
      <c r="E36" s="4" t="s">
        <v>257</v>
      </c>
      <c r="F36" s="4" t="s">
        <v>271</v>
      </c>
      <c r="G36" s="4" t="s">
        <v>36</v>
      </c>
      <c r="H36" s="4" t="s">
        <v>36</v>
      </c>
      <c r="I36" s="5">
        <v>1998</v>
      </c>
      <c r="J36" s="6"/>
      <c r="K36" s="6"/>
      <c r="L36" s="7" t="s">
        <v>261</v>
      </c>
      <c r="M36" s="7" t="s">
        <v>37</v>
      </c>
      <c r="N36" s="7" t="s">
        <v>262</v>
      </c>
      <c r="O36" s="7" t="s">
        <v>263</v>
      </c>
      <c r="P36" s="7" t="s">
        <v>264</v>
      </c>
      <c r="Q36" s="7" t="s">
        <v>265</v>
      </c>
      <c r="R36" s="7" t="s">
        <v>38</v>
      </c>
      <c r="S36" s="7" t="s">
        <v>39</v>
      </c>
      <c r="T36" s="7" t="s">
        <v>266</v>
      </c>
      <c r="U36" s="7" t="s">
        <v>40</v>
      </c>
      <c r="V36" s="7" t="s">
        <v>267</v>
      </c>
      <c r="W36" s="7" t="s">
        <v>41</v>
      </c>
      <c r="X36" s="7" t="s">
        <v>105</v>
      </c>
      <c r="Y36" s="7" t="s">
        <v>60</v>
      </c>
      <c r="Z36" s="7" t="s">
        <v>162</v>
      </c>
      <c r="AA36" s="7" t="s">
        <v>60</v>
      </c>
      <c r="AB36" s="7" t="s">
        <v>107</v>
      </c>
      <c r="AC36" s="7" t="s">
        <v>64</v>
      </c>
      <c r="AD36" s="7" t="s">
        <v>268</v>
      </c>
      <c r="AE36" s="7" t="s">
        <v>269</v>
      </c>
    </row>
    <row r="37" spans="1:31" s="8" customFormat="1" ht="15" customHeight="1" x14ac:dyDescent="0.25">
      <c r="A37" s="4">
        <v>3345</v>
      </c>
      <c r="B37" s="4"/>
      <c r="C37" s="4" t="s">
        <v>43</v>
      </c>
      <c r="D37" s="4" t="s">
        <v>44</v>
      </c>
      <c r="E37" s="4" t="s">
        <v>257</v>
      </c>
      <c r="F37" s="4" t="s">
        <v>219</v>
      </c>
      <c r="G37" s="4" t="s">
        <v>272</v>
      </c>
      <c r="H37" s="4">
        <v>435185082</v>
      </c>
      <c r="I37" s="5">
        <v>1996</v>
      </c>
      <c r="J37" s="6"/>
      <c r="K37" s="6"/>
      <c r="L37" s="7" t="s">
        <v>261</v>
      </c>
      <c r="M37" s="7" t="s">
        <v>37</v>
      </c>
      <c r="N37" s="7" t="s">
        <v>262</v>
      </c>
      <c r="O37" s="7" t="s">
        <v>263</v>
      </c>
      <c r="P37" s="7" t="s">
        <v>264</v>
      </c>
      <c r="Q37" s="7" t="s">
        <v>265</v>
      </c>
      <c r="R37" s="7" t="s">
        <v>38</v>
      </c>
      <c r="S37" s="7" t="s">
        <v>39</v>
      </c>
      <c r="T37" s="7" t="s">
        <v>266</v>
      </c>
      <c r="U37" s="7" t="s">
        <v>40</v>
      </c>
      <c r="V37" s="7" t="s">
        <v>267</v>
      </c>
      <c r="W37" s="7" t="s">
        <v>41</v>
      </c>
      <c r="X37" s="7" t="s">
        <v>105</v>
      </c>
      <c r="Y37" s="7" t="s">
        <v>60</v>
      </c>
      <c r="Z37" s="7" t="s">
        <v>162</v>
      </c>
      <c r="AA37" s="7" t="s">
        <v>60</v>
      </c>
      <c r="AB37" s="7" t="s">
        <v>107</v>
      </c>
      <c r="AC37" s="7" t="s">
        <v>64</v>
      </c>
      <c r="AD37" s="7" t="s">
        <v>268</v>
      </c>
      <c r="AE37" s="7" t="s">
        <v>269</v>
      </c>
    </row>
    <row r="38" spans="1:31" s="8" customFormat="1" ht="15" customHeight="1" x14ac:dyDescent="0.25">
      <c r="A38" s="4" t="s">
        <v>273</v>
      </c>
      <c r="B38" s="4"/>
      <c r="C38" s="4" t="s">
        <v>31</v>
      </c>
      <c r="D38" s="4" t="s">
        <v>31</v>
      </c>
      <c r="E38" s="4" t="s">
        <v>274</v>
      </c>
      <c r="F38" s="4" t="s">
        <v>275</v>
      </c>
      <c r="G38" s="4" t="s">
        <v>276</v>
      </c>
      <c r="H38" s="4" t="s">
        <v>277</v>
      </c>
      <c r="I38" s="5">
        <v>2012</v>
      </c>
      <c r="J38" s="6"/>
      <c r="K38" s="6"/>
      <c r="L38" s="7" t="s">
        <v>278</v>
      </c>
      <c r="M38" s="7" t="s">
        <v>37</v>
      </c>
      <c r="N38" s="7" t="s">
        <v>279</v>
      </c>
      <c r="O38" s="7"/>
      <c r="P38" s="7" t="s">
        <v>280</v>
      </c>
      <c r="Q38" s="7"/>
      <c r="R38" s="7" t="s">
        <v>38</v>
      </c>
      <c r="S38" s="7" t="s">
        <v>39</v>
      </c>
      <c r="T38" s="7" t="s">
        <v>36</v>
      </c>
      <c r="U38" s="7" t="s">
        <v>40</v>
      </c>
      <c r="V38" s="7" t="s">
        <v>281</v>
      </c>
      <c r="W38" s="7" t="s">
        <v>41</v>
      </c>
      <c r="X38" s="7" t="s">
        <v>282</v>
      </c>
      <c r="Y38" s="7" t="s">
        <v>283</v>
      </c>
      <c r="Z38" s="7" t="s">
        <v>284</v>
      </c>
      <c r="AA38" s="7"/>
      <c r="AB38" s="7" t="s">
        <v>63</v>
      </c>
      <c r="AC38" s="7" t="s">
        <v>64</v>
      </c>
      <c r="AD38" s="7" t="s">
        <v>285</v>
      </c>
      <c r="AE38" s="7" t="s">
        <v>187</v>
      </c>
    </row>
    <row r="39" spans="1:31" s="8" customFormat="1" ht="15" customHeight="1" x14ac:dyDescent="0.25">
      <c r="A39" s="4">
        <v>2060</v>
      </c>
      <c r="B39" s="4" t="s">
        <v>286</v>
      </c>
      <c r="C39" s="4" t="s">
        <v>43</v>
      </c>
      <c r="D39" s="4" t="s">
        <v>44</v>
      </c>
      <c r="E39" s="4" t="s">
        <v>287</v>
      </c>
      <c r="F39" s="4" t="s">
        <v>288</v>
      </c>
      <c r="G39" s="4" t="s">
        <v>289</v>
      </c>
      <c r="H39" s="4" t="s">
        <v>36</v>
      </c>
      <c r="I39" s="5">
        <v>2008</v>
      </c>
      <c r="J39" s="6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8" customFormat="1" ht="15" customHeight="1" x14ac:dyDescent="0.25">
      <c r="A40" s="10" t="s">
        <v>290</v>
      </c>
      <c r="B40" s="10"/>
      <c r="C40" s="4" t="s">
        <v>134</v>
      </c>
      <c r="D40" s="9" t="s">
        <v>291</v>
      </c>
      <c r="E40" s="4" t="s">
        <v>292</v>
      </c>
      <c r="F40" s="4" t="s">
        <v>168</v>
      </c>
      <c r="G40" s="4" t="s">
        <v>293</v>
      </c>
      <c r="H40" s="4" t="s">
        <v>294</v>
      </c>
      <c r="I40" s="5">
        <v>2012</v>
      </c>
      <c r="J40" s="6"/>
      <c r="K40" s="6"/>
      <c r="L40" s="7" t="s">
        <v>295</v>
      </c>
      <c r="M40" s="7" t="s">
        <v>37</v>
      </c>
      <c r="N40" s="7" t="s">
        <v>214</v>
      </c>
      <c r="O40" s="7" t="s">
        <v>296</v>
      </c>
      <c r="P40" s="7" t="s">
        <v>297</v>
      </c>
      <c r="Q40" s="7" t="s">
        <v>298</v>
      </c>
      <c r="R40" s="7" t="s">
        <v>38</v>
      </c>
      <c r="S40" s="7" t="s">
        <v>39</v>
      </c>
      <c r="T40" s="7" t="s">
        <v>299</v>
      </c>
      <c r="U40" s="7" t="s">
        <v>40</v>
      </c>
      <c r="V40" s="7" t="s">
        <v>300</v>
      </c>
      <c r="W40" s="7" t="s">
        <v>41</v>
      </c>
      <c r="X40" s="7" t="s">
        <v>301</v>
      </c>
      <c r="Y40" s="7" t="s">
        <v>62</v>
      </c>
      <c r="Z40" s="7" t="s">
        <v>75</v>
      </c>
      <c r="AA40" s="7" t="s">
        <v>62</v>
      </c>
      <c r="AB40" s="7" t="s">
        <v>63</v>
      </c>
      <c r="AC40" s="7" t="s">
        <v>64</v>
      </c>
      <c r="AD40" s="7" t="s">
        <v>108</v>
      </c>
      <c r="AE40" s="7" t="s">
        <v>179</v>
      </c>
    </row>
    <row r="41" spans="1:31" s="8" customFormat="1" ht="15" customHeight="1" x14ac:dyDescent="0.25">
      <c r="A41" s="10" t="s">
        <v>302</v>
      </c>
      <c r="B41" s="10"/>
      <c r="C41" s="4" t="s">
        <v>134</v>
      </c>
      <c r="D41" s="4" t="s">
        <v>291</v>
      </c>
      <c r="E41" s="4" t="s">
        <v>292</v>
      </c>
      <c r="F41" s="4" t="s">
        <v>120</v>
      </c>
      <c r="G41" s="4" t="s">
        <v>303</v>
      </c>
      <c r="H41" s="4" t="s">
        <v>304</v>
      </c>
      <c r="I41" s="5">
        <v>2005</v>
      </c>
      <c r="J41" s="6"/>
      <c r="K41" s="6"/>
      <c r="L41" s="7" t="s">
        <v>305</v>
      </c>
      <c r="M41" s="7" t="s">
        <v>37</v>
      </c>
      <c r="N41" s="7" t="s">
        <v>214</v>
      </c>
      <c r="O41" s="7" t="s">
        <v>296</v>
      </c>
      <c r="P41" s="7" t="s">
        <v>297</v>
      </c>
      <c r="Q41" s="7" t="s">
        <v>298</v>
      </c>
      <c r="R41" s="7" t="s">
        <v>38</v>
      </c>
      <c r="S41" s="7" t="s">
        <v>39</v>
      </c>
      <c r="T41" s="7" t="s">
        <v>299</v>
      </c>
      <c r="U41" s="7" t="s">
        <v>40</v>
      </c>
      <c r="V41" s="7" t="s">
        <v>300</v>
      </c>
      <c r="W41" s="7" t="s">
        <v>41</v>
      </c>
      <c r="X41" s="7" t="s">
        <v>301</v>
      </c>
      <c r="Y41" s="7" t="s">
        <v>62</v>
      </c>
      <c r="Z41" s="7" t="s">
        <v>75</v>
      </c>
      <c r="AA41" s="7" t="s">
        <v>62</v>
      </c>
      <c r="AB41" s="7" t="s">
        <v>63</v>
      </c>
      <c r="AC41" s="7" t="s">
        <v>64</v>
      </c>
      <c r="AD41" s="7" t="s">
        <v>108</v>
      </c>
      <c r="AE41" s="7" t="s">
        <v>179</v>
      </c>
    </row>
    <row r="42" spans="1:31" s="8" customFormat="1" ht="15" customHeight="1" x14ac:dyDescent="0.25">
      <c r="A42" s="10" t="s">
        <v>306</v>
      </c>
      <c r="B42" s="10"/>
      <c r="C42" s="4" t="s">
        <v>132</v>
      </c>
      <c r="D42" s="9" t="s">
        <v>307</v>
      </c>
      <c r="E42" s="4" t="s">
        <v>292</v>
      </c>
      <c r="F42" s="4" t="s">
        <v>168</v>
      </c>
      <c r="G42" s="4" t="s">
        <v>308</v>
      </c>
      <c r="H42" s="4" t="s">
        <v>309</v>
      </c>
      <c r="I42" s="5">
        <v>2012</v>
      </c>
      <c r="J42" s="6"/>
      <c r="K42" s="6"/>
      <c r="L42" s="7" t="s">
        <v>295</v>
      </c>
      <c r="M42" s="7" t="s">
        <v>37</v>
      </c>
      <c r="N42" s="7" t="s">
        <v>214</v>
      </c>
      <c r="O42" s="7" t="s">
        <v>296</v>
      </c>
      <c r="P42" s="7" t="s">
        <v>297</v>
      </c>
      <c r="Q42" s="7" t="s">
        <v>298</v>
      </c>
      <c r="R42" s="7" t="s">
        <v>38</v>
      </c>
      <c r="S42" s="7" t="s">
        <v>39</v>
      </c>
      <c r="T42" s="7" t="s">
        <v>299</v>
      </c>
      <c r="U42" s="7" t="s">
        <v>40</v>
      </c>
      <c r="V42" s="7" t="s">
        <v>300</v>
      </c>
      <c r="W42" s="7" t="s">
        <v>41</v>
      </c>
      <c r="X42" s="7" t="s">
        <v>301</v>
      </c>
      <c r="Y42" s="7" t="s">
        <v>62</v>
      </c>
      <c r="Z42" s="7" t="s">
        <v>75</v>
      </c>
      <c r="AA42" s="7" t="s">
        <v>62</v>
      </c>
      <c r="AB42" s="7" t="s">
        <v>63</v>
      </c>
      <c r="AC42" s="7" t="s">
        <v>64</v>
      </c>
      <c r="AD42" s="7" t="s">
        <v>108</v>
      </c>
      <c r="AE42" s="7" t="s">
        <v>179</v>
      </c>
    </row>
    <row r="43" spans="1:31" s="8" customFormat="1" ht="15" customHeight="1" x14ac:dyDescent="0.25">
      <c r="A43" s="10" t="s">
        <v>310</v>
      </c>
      <c r="B43" s="10"/>
      <c r="C43" s="4" t="s">
        <v>311</v>
      </c>
      <c r="D43" s="4" t="s">
        <v>307</v>
      </c>
      <c r="E43" s="4" t="s">
        <v>292</v>
      </c>
      <c r="F43" s="4" t="s">
        <v>168</v>
      </c>
      <c r="G43" s="4" t="s">
        <v>308</v>
      </c>
      <c r="H43" s="4" t="s">
        <v>312</v>
      </c>
      <c r="I43" s="5">
        <v>2012</v>
      </c>
      <c r="J43" s="6"/>
      <c r="K43" s="6"/>
      <c r="L43" s="7" t="s">
        <v>295</v>
      </c>
      <c r="M43" s="7" t="s">
        <v>37</v>
      </c>
      <c r="N43" s="7" t="s">
        <v>214</v>
      </c>
      <c r="O43" s="7" t="s">
        <v>296</v>
      </c>
      <c r="P43" s="7" t="s">
        <v>297</v>
      </c>
      <c r="Q43" s="7" t="s">
        <v>298</v>
      </c>
      <c r="R43" s="7" t="s">
        <v>38</v>
      </c>
      <c r="S43" s="7" t="s">
        <v>39</v>
      </c>
      <c r="T43" s="7" t="s">
        <v>299</v>
      </c>
      <c r="U43" s="7" t="s">
        <v>40</v>
      </c>
      <c r="V43" s="7" t="s">
        <v>300</v>
      </c>
      <c r="W43" s="7" t="s">
        <v>41</v>
      </c>
      <c r="X43" s="7" t="s">
        <v>301</v>
      </c>
      <c r="Y43" s="7" t="s">
        <v>62</v>
      </c>
      <c r="Z43" s="7" t="s">
        <v>75</v>
      </c>
      <c r="AA43" s="7" t="s">
        <v>62</v>
      </c>
      <c r="AB43" s="7" t="s">
        <v>63</v>
      </c>
      <c r="AC43" s="7" t="s">
        <v>64</v>
      </c>
      <c r="AD43" s="7" t="s">
        <v>108</v>
      </c>
      <c r="AE43" s="7" t="s">
        <v>179</v>
      </c>
    </row>
    <row r="44" spans="1:31" s="8" customFormat="1" ht="15" customHeight="1" x14ac:dyDescent="0.25">
      <c r="A44" s="57" t="s">
        <v>313</v>
      </c>
      <c r="B44" s="10"/>
      <c r="C44" s="4" t="s">
        <v>67</v>
      </c>
      <c r="D44" s="4" t="s">
        <v>180</v>
      </c>
      <c r="E44" s="4" t="s">
        <v>292</v>
      </c>
      <c r="F44" s="4" t="s">
        <v>314</v>
      </c>
      <c r="G44" s="4" t="s">
        <v>315</v>
      </c>
      <c r="H44" s="4" t="s">
        <v>316</v>
      </c>
      <c r="I44" s="5">
        <v>1998</v>
      </c>
      <c r="J44" s="6"/>
      <c r="K44" s="6"/>
      <c r="L44" s="7" t="s">
        <v>305</v>
      </c>
      <c r="M44" s="7" t="s">
        <v>37</v>
      </c>
      <c r="N44" s="7" t="s">
        <v>214</v>
      </c>
      <c r="O44" s="7" t="s">
        <v>296</v>
      </c>
      <c r="P44" s="7" t="s">
        <v>297</v>
      </c>
      <c r="Q44" s="7" t="s">
        <v>298</v>
      </c>
      <c r="R44" s="7" t="s">
        <v>38</v>
      </c>
      <c r="S44" s="7" t="s">
        <v>39</v>
      </c>
      <c r="T44" s="7" t="s">
        <v>299</v>
      </c>
      <c r="U44" s="7" t="s">
        <v>40</v>
      </c>
      <c r="V44" s="7" t="s">
        <v>300</v>
      </c>
      <c r="W44" s="7" t="s">
        <v>41</v>
      </c>
      <c r="X44" s="7" t="s">
        <v>301</v>
      </c>
      <c r="Y44" s="7" t="s">
        <v>62</v>
      </c>
      <c r="Z44" s="7" t="s">
        <v>75</v>
      </c>
      <c r="AA44" s="7" t="s">
        <v>62</v>
      </c>
      <c r="AB44" s="7" t="s">
        <v>63</v>
      </c>
      <c r="AC44" s="7" t="s">
        <v>64</v>
      </c>
      <c r="AD44" s="7" t="s">
        <v>108</v>
      </c>
      <c r="AE44" s="7" t="s">
        <v>179</v>
      </c>
    </row>
    <row r="45" spans="1:31" s="8" customFormat="1" ht="15" customHeight="1" x14ac:dyDescent="0.25">
      <c r="A45" s="10" t="s">
        <v>317</v>
      </c>
      <c r="B45" s="10"/>
      <c r="C45" s="4" t="s">
        <v>83</v>
      </c>
      <c r="D45" s="4" t="s">
        <v>291</v>
      </c>
      <c r="E45" s="4" t="s">
        <v>318</v>
      </c>
      <c r="F45" s="4" t="s">
        <v>168</v>
      </c>
      <c r="G45" s="4" t="s">
        <v>319</v>
      </c>
      <c r="H45" s="4" t="s">
        <v>320</v>
      </c>
      <c r="I45" s="5">
        <v>2012</v>
      </c>
      <c r="J45" s="6"/>
      <c r="K45" s="6"/>
      <c r="L45" s="7" t="s">
        <v>305</v>
      </c>
      <c r="M45" s="7" t="s">
        <v>37</v>
      </c>
      <c r="N45" s="7" t="s">
        <v>214</v>
      </c>
      <c r="O45" s="7" t="s">
        <v>296</v>
      </c>
      <c r="P45" s="7" t="s">
        <v>297</v>
      </c>
      <c r="Q45" s="7" t="s">
        <v>298</v>
      </c>
      <c r="R45" s="7" t="s">
        <v>38</v>
      </c>
      <c r="S45" s="7" t="s">
        <v>39</v>
      </c>
      <c r="T45" s="7" t="s">
        <v>299</v>
      </c>
      <c r="U45" s="7" t="s">
        <v>40</v>
      </c>
      <c r="V45" s="7" t="s">
        <v>300</v>
      </c>
      <c r="W45" s="7" t="s">
        <v>41</v>
      </c>
      <c r="X45" s="7" t="s">
        <v>301</v>
      </c>
      <c r="Y45" s="7" t="s">
        <v>62</v>
      </c>
      <c r="Z45" s="7" t="s">
        <v>75</v>
      </c>
      <c r="AA45" s="7" t="s">
        <v>62</v>
      </c>
      <c r="AB45" s="7" t="s">
        <v>63</v>
      </c>
      <c r="AC45" s="7" t="s">
        <v>64</v>
      </c>
      <c r="AD45" s="7" t="s">
        <v>108</v>
      </c>
      <c r="AE45" s="7" t="s">
        <v>179</v>
      </c>
    </row>
    <row r="46" spans="1:31" s="8" customFormat="1" ht="15" customHeight="1" x14ac:dyDescent="0.25">
      <c r="A46" s="10" t="s">
        <v>321</v>
      </c>
      <c r="B46" s="10"/>
      <c r="C46" s="4" t="s">
        <v>134</v>
      </c>
      <c r="D46" s="9" t="s">
        <v>291</v>
      </c>
      <c r="E46" s="4" t="s">
        <v>318</v>
      </c>
      <c r="F46" s="4" t="s">
        <v>120</v>
      </c>
      <c r="G46" s="4" t="s">
        <v>322</v>
      </c>
      <c r="H46" s="4" t="s">
        <v>323</v>
      </c>
      <c r="I46" s="5">
        <v>2007</v>
      </c>
      <c r="J46" s="6"/>
      <c r="K46" s="6"/>
      <c r="L46" s="7" t="s">
        <v>295</v>
      </c>
      <c r="M46" s="7" t="s">
        <v>37</v>
      </c>
      <c r="N46" s="7" t="s">
        <v>214</v>
      </c>
      <c r="O46" s="7" t="s">
        <v>296</v>
      </c>
      <c r="P46" s="7" t="s">
        <v>297</v>
      </c>
      <c r="Q46" s="7" t="s">
        <v>298</v>
      </c>
      <c r="R46" s="7" t="s">
        <v>38</v>
      </c>
      <c r="S46" s="7" t="s">
        <v>39</v>
      </c>
      <c r="T46" s="7" t="s">
        <v>299</v>
      </c>
      <c r="U46" s="7" t="s">
        <v>40</v>
      </c>
      <c r="V46" s="7" t="s">
        <v>300</v>
      </c>
      <c r="W46" s="7" t="s">
        <v>41</v>
      </c>
      <c r="X46" s="7" t="s">
        <v>301</v>
      </c>
      <c r="Y46" s="7" t="s">
        <v>62</v>
      </c>
      <c r="Z46" s="7" t="s">
        <v>75</v>
      </c>
      <c r="AA46" s="7" t="s">
        <v>62</v>
      </c>
      <c r="AB46" s="7" t="s">
        <v>63</v>
      </c>
      <c r="AC46" s="7" t="s">
        <v>64</v>
      </c>
      <c r="AD46" s="7" t="s">
        <v>108</v>
      </c>
      <c r="AE46" s="7" t="s">
        <v>179</v>
      </c>
    </row>
    <row r="47" spans="1:31" s="8" customFormat="1" ht="15" customHeight="1" x14ac:dyDescent="0.25">
      <c r="A47" s="10" t="s">
        <v>324</v>
      </c>
      <c r="B47" s="10"/>
      <c r="C47" s="4" t="s">
        <v>134</v>
      </c>
      <c r="D47" s="4" t="s">
        <v>291</v>
      </c>
      <c r="E47" s="4" t="s">
        <v>318</v>
      </c>
      <c r="F47" s="4" t="s">
        <v>325</v>
      </c>
      <c r="G47" s="4" t="s">
        <v>326</v>
      </c>
      <c r="H47" s="4" t="s">
        <v>327</v>
      </c>
      <c r="I47" s="5">
        <v>2001</v>
      </c>
      <c r="J47" s="6"/>
      <c r="K47" s="6"/>
      <c r="L47" s="7" t="s">
        <v>305</v>
      </c>
      <c r="M47" s="7" t="s">
        <v>37</v>
      </c>
      <c r="N47" s="7" t="s">
        <v>214</v>
      </c>
      <c r="O47" s="7" t="s">
        <v>296</v>
      </c>
      <c r="P47" s="7" t="s">
        <v>297</v>
      </c>
      <c r="Q47" s="7" t="s">
        <v>298</v>
      </c>
      <c r="R47" s="7" t="s">
        <v>38</v>
      </c>
      <c r="S47" s="7" t="s">
        <v>39</v>
      </c>
      <c r="T47" s="7" t="s">
        <v>299</v>
      </c>
      <c r="U47" s="7" t="s">
        <v>40</v>
      </c>
      <c r="V47" s="7" t="s">
        <v>300</v>
      </c>
      <c r="W47" s="7" t="s">
        <v>41</v>
      </c>
      <c r="X47" s="7" t="s">
        <v>301</v>
      </c>
      <c r="Y47" s="7" t="s">
        <v>62</v>
      </c>
      <c r="Z47" s="7" t="s">
        <v>75</v>
      </c>
      <c r="AA47" s="7" t="s">
        <v>62</v>
      </c>
      <c r="AB47" s="7" t="s">
        <v>63</v>
      </c>
      <c r="AC47" s="7" t="s">
        <v>64</v>
      </c>
      <c r="AD47" s="7" t="s">
        <v>108</v>
      </c>
      <c r="AE47" s="7" t="s">
        <v>179</v>
      </c>
    </row>
    <row r="48" spans="1:31" s="8" customFormat="1" ht="15" customHeight="1" x14ac:dyDescent="0.25">
      <c r="A48" s="10" t="s">
        <v>328</v>
      </c>
      <c r="B48" s="10"/>
      <c r="C48" s="4" t="s">
        <v>138</v>
      </c>
      <c r="D48" s="9" t="s">
        <v>307</v>
      </c>
      <c r="E48" s="4" t="s">
        <v>318</v>
      </c>
      <c r="F48" s="4" t="s">
        <v>120</v>
      </c>
      <c r="G48" s="4" t="s">
        <v>303</v>
      </c>
      <c r="H48" s="4" t="s">
        <v>329</v>
      </c>
      <c r="I48" s="5">
        <v>2005</v>
      </c>
      <c r="J48" s="6"/>
      <c r="K48" s="6"/>
      <c r="L48" s="7" t="s">
        <v>295</v>
      </c>
      <c r="M48" s="7" t="s">
        <v>37</v>
      </c>
      <c r="N48" s="7" t="s">
        <v>214</v>
      </c>
      <c r="O48" s="7" t="s">
        <v>296</v>
      </c>
      <c r="P48" s="7" t="s">
        <v>297</v>
      </c>
      <c r="Q48" s="7" t="s">
        <v>298</v>
      </c>
      <c r="R48" s="7" t="s">
        <v>38</v>
      </c>
      <c r="S48" s="7" t="s">
        <v>39</v>
      </c>
      <c r="T48" s="7" t="s">
        <v>299</v>
      </c>
      <c r="U48" s="7" t="s">
        <v>40</v>
      </c>
      <c r="V48" s="7" t="s">
        <v>300</v>
      </c>
      <c r="W48" s="7" t="s">
        <v>41</v>
      </c>
      <c r="X48" s="7" t="s">
        <v>301</v>
      </c>
      <c r="Y48" s="7" t="s">
        <v>62</v>
      </c>
      <c r="Z48" s="7" t="s">
        <v>75</v>
      </c>
      <c r="AA48" s="7" t="s">
        <v>62</v>
      </c>
      <c r="AB48" s="7" t="s">
        <v>63</v>
      </c>
      <c r="AC48" s="7" t="s">
        <v>64</v>
      </c>
      <c r="AD48" s="7" t="s">
        <v>108</v>
      </c>
      <c r="AE48" s="7" t="s">
        <v>179</v>
      </c>
    </row>
    <row r="49" spans="1:31" s="8" customFormat="1" ht="15" customHeight="1" x14ac:dyDescent="0.25">
      <c r="A49" s="10" t="s">
        <v>330</v>
      </c>
      <c r="B49" s="10"/>
      <c r="C49" s="4" t="s">
        <v>67</v>
      </c>
      <c r="D49" s="9" t="s">
        <v>254</v>
      </c>
      <c r="E49" s="4" t="s">
        <v>318</v>
      </c>
      <c r="F49" s="4" t="s">
        <v>120</v>
      </c>
      <c r="G49" s="4" t="s">
        <v>331</v>
      </c>
      <c r="H49" s="4" t="s">
        <v>332</v>
      </c>
      <c r="I49" s="5">
        <v>2012</v>
      </c>
      <c r="J49" s="6"/>
      <c r="K49" s="6"/>
      <c r="L49" s="7" t="s">
        <v>295</v>
      </c>
      <c r="M49" s="7" t="s">
        <v>37</v>
      </c>
      <c r="N49" s="7" t="s">
        <v>214</v>
      </c>
      <c r="O49" s="7" t="s">
        <v>296</v>
      </c>
      <c r="P49" s="7" t="s">
        <v>297</v>
      </c>
      <c r="Q49" s="7" t="s">
        <v>298</v>
      </c>
      <c r="R49" s="7" t="s">
        <v>38</v>
      </c>
      <c r="S49" s="7" t="s">
        <v>39</v>
      </c>
      <c r="T49" s="7" t="s">
        <v>299</v>
      </c>
      <c r="U49" s="7" t="s">
        <v>40</v>
      </c>
      <c r="V49" s="7" t="s">
        <v>300</v>
      </c>
      <c r="W49" s="7" t="s">
        <v>41</v>
      </c>
      <c r="X49" s="7" t="s">
        <v>301</v>
      </c>
      <c r="Y49" s="7" t="s">
        <v>62</v>
      </c>
      <c r="Z49" s="7" t="s">
        <v>75</v>
      </c>
      <c r="AA49" s="7" t="s">
        <v>62</v>
      </c>
      <c r="AB49" s="7" t="s">
        <v>63</v>
      </c>
      <c r="AC49" s="7" t="s">
        <v>64</v>
      </c>
      <c r="AD49" s="7" t="s">
        <v>108</v>
      </c>
      <c r="AE49" s="7" t="s">
        <v>179</v>
      </c>
    </row>
    <row r="50" spans="1:31" s="8" customFormat="1" ht="15" customHeight="1" x14ac:dyDescent="0.25">
      <c r="A50" s="10">
        <v>1442</v>
      </c>
      <c r="B50" s="10"/>
      <c r="C50" s="4" t="s">
        <v>134</v>
      </c>
      <c r="D50" s="9" t="s">
        <v>291</v>
      </c>
      <c r="E50" s="4" t="s">
        <v>318</v>
      </c>
      <c r="F50" s="4" t="s">
        <v>325</v>
      </c>
      <c r="G50" s="4" t="s">
        <v>333</v>
      </c>
      <c r="H50" s="4" t="s">
        <v>334</v>
      </c>
      <c r="I50" s="5">
        <v>1995</v>
      </c>
      <c r="J50" s="6"/>
      <c r="K50" s="6"/>
      <c r="L50" s="7" t="s">
        <v>295</v>
      </c>
      <c r="M50" s="7" t="s">
        <v>37</v>
      </c>
      <c r="N50" s="7" t="s">
        <v>214</v>
      </c>
      <c r="O50" s="7" t="s">
        <v>296</v>
      </c>
      <c r="P50" s="7" t="s">
        <v>297</v>
      </c>
      <c r="Q50" s="7" t="s">
        <v>298</v>
      </c>
      <c r="R50" s="7" t="s">
        <v>38</v>
      </c>
      <c r="S50" s="7" t="s">
        <v>39</v>
      </c>
      <c r="T50" s="7" t="s">
        <v>299</v>
      </c>
      <c r="U50" s="7" t="s">
        <v>40</v>
      </c>
      <c r="V50" s="7" t="s">
        <v>300</v>
      </c>
      <c r="W50" s="7" t="s">
        <v>41</v>
      </c>
      <c r="X50" s="7" t="s">
        <v>301</v>
      </c>
      <c r="Y50" s="7" t="s">
        <v>62</v>
      </c>
      <c r="Z50" s="7" t="s">
        <v>75</v>
      </c>
      <c r="AA50" s="7" t="s">
        <v>62</v>
      </c>
      <c r="AB50" s="7" t="s">
        <v>63</v>
      </c>
      <c r="AC50" s="7" t="s">
        <v>64</v>
      </c>
      <c r="AD50" s="7" t="s">
        <v>108</v>
      </c>
      <c r="AE50" s="7" t="s">
        <v>179</v>
      </c>
    </row>
    <row r="51" spans="1:31" s="8" customFormat="1" ht="15" customHeight="1" x14ac:dyDescent="0.25">
      <c r="A51" s="10">
        <v>2257</v>
      </c>
      <c r="B51" s="10" t="s">
        <v>335</v>
      </c>
      <c r="C51" s="4" t="s">
        <v>134</v>
      </c>
      <c r="D51" s="9" t="s">
        <v>291</v>
      </c>
      <c r="E51" s="4" t="s">
        <v>318</v>
      </c>
      <c r="F51" s="4" t="s">
        <v>336</v>
      </c>
      <c r="G51" s="4" t="s">
        <v>337</v>
      </c>
      <c r="H51" s="4">
        <v>3132</v>
      </c>
      <c r="I51" s="5">
        <v>1994</v>
      </c>
      <c r="J51" s="6"/>
      <c r="K51" s="6"/>
      <c r="L51" s="7" t="s">
        <v>295</v>
      </c>
      <c r="M51" s="7" t="s">
        <v>37</v>
      </c>
      <c r="N51" s="7" t="s">
        <v>214</v>
      </c>
      <c r="O51" s="7" t="s">
        <v>296</v>
      </c>
      <c r="P51" s="7" t="s">
        <v>297</v>
      </c>
      <c r="Q51" s="7" t="s">
        <v>298</v>
      </c>
      <c r="R51" s="7" t="s">
        <v>38</v>
      </c>
      <c r="S51" s="7" t="s">
        <v>39</v>
      </c>
      <c r="T51" s="7" t="s">
        <v>299</v>
      </c>
      <c r="U51" s="7" t="s">
        <v>40</v>
      </c>
      <c r="V51" s="7" t="s">
        <v>300</v>
      </c>
      <c r="W51" s="7" t="s">
        <v>41</v>
      </c>
      <c r="X51" s="7" t="s">
        <v>301</v>
      </c>
      <c r="Y51" s="7" t="s">
        <v>62</v>
      </c>
      <c r="Z51" s="7" t="s">
        <v>75</v>
      </c>
      <c r="AA51" s="7" t="s">
        <v>62</v>
      </c>
      <c r="AB51" s="7" t="s">
        <v>63</v>
      </c>
      <c r="AC51" s="7" t="s">
        <v>64</v>
      </c>
      <c r="AD51" s="7" t="s">
        <v>108</v>
      </c>
      <c r="AE51" s="7" t="s">
        <v>179</v>
      </c>
    </row>
    <row r="52" spans="1:31" s="11" customFormat="1" ht="15" customHeight="1" x14ac:dyDescent="0.25">
      <c r="A52" s="10" t="s">
        <v>338</v>
      </c>
      <c r="B52" s="10"/>
      <c r="C52" s="4" t="s">
        <v>43</v>
      </c>
      <c r="D52" s="4" t="s">
        <v>339</v>
      </c>
      <c r="E52" s="4" t="s">
        <v>318</v>
      </c>
      <c r="F52" s="4" t="s">
        <v>120</v>
      </c>
      <c r="G52" s="4" t="s">
        <v>340</v>
      </c>
      <c r="H52" s="4" t="s">
        <v>341</v>
      </c>
      <c r="I52" s="5">
        <v>2008</v>
      </c>
      <c r="J52" s="6"/>
      <c r="K52" s="6"/>
      <c r="L52" s="7" t="s">
        <v>295</v>
      </c>
      <c r="M52" s="7" t="s">
        <v>37</v>
      </c>
      <c r="N52" s="7" t="s">
        <v>214</v>
      </c>
      <c r="O52" s="7" t="s">
        <v>296</v>
      </c>
      <c r="P52" s="7" t="s">
        <v>297</v>
      </c>
      <c r="Q52" s="7" t="s">
        <v>298</v>
      </c>
      <c r="R52" s="7" t="s">
        <v>38</v>
      </c>
      <c r="S52" s="7" t="s">
        <v>39</v>
      </c>
      <c r="T52" s="7" t="s">
        <v>299</v>
      </c>
      <c r="U52" s="7" t="s">
        <v>40</v>
      </c>
      <c r="V52" s="7" t="s">
        <v>300</v>
      </c>
      <c r="W52" s="7" t="s">
        <v>41</v>
      </c>
      <c r="X52" s="7" t="s">
        <v>301</v>
      </c>
      <c r="Y52" s="7" t="s">
        <v>62</v>
      </c>
      <c r="Z52" s="7" t="s">
        <v>75</v>
      </c>
      <c r="AA52" s="7" t="s">
        <v>62</v>
      </c>
      <c r="AB52" s="7" t="s">
        <v>63</v>
      </c>
      <c r="AC52" s="7" t="s">
        <v>64</v>
      </c>
      <c r="AD52" s="7" t="s">
        <v>108</v>
      </c>
      <c r="AE52" s="7" t="s">
        <v>179</v>
      </c>
    </row>
    <row r="53" spans="1:31" s="8" customFormat="1" ht="15" customHeight="1" x14ac:dyDescent="0.25">
      <c r="A53" s="10" t="s">
        <v>342</v>
      </c>
      <c r="B53" s="10"/>
      <c r="C53" s="4" t="s">
        <v>134</v>
      </c>
      <c r="D53" s="9" t="s">
        <v>307</v>
      </c>
      <c r="E53" s="4" t="s">
        <v>343</v>
      </c>
      <c r="F53" s="4" t="s">
        <v>120</v>
      </c>
      <c r="G53" s="4" t="s">
        <v>303</v>
      </c>
      <c r="H53" s="4" t="s">
        <v>344</v>
      </c>
      <c r="I53" s="5">
        <v>2005</v>
      </c>
      <c r="J53" s="6"/>
      <c r="K53" s="6"/>
      <c r="L53" s="7" t="s">
        <v>295</v>
      </c>
      <c r="M53" s="7" t="s">
        <v>37</v>
      </c>
      <c r="N53" s="7" t="s">
        <v>214</v>
      </c>
      <c r="O53" s="7" t="s">
        <v>296</v>
      </c>
      <c r="P53" s="7" t="s">
        <v>297</v>
      </c>
      <c r="Q53" s="7" t="s">
        <v>298</v>
      </c>
      <c r="R53" s="7" t="s">
        <v>38</v>
      </c>
      <c r="S53" s="7" t="s">
        <v>39</v>
      </c>
      <c r="T53" s="7" t="s">
        <v>299</v>
      </c>
      <c r="U53" s="7" t="s">
        <v>40</v>
      </c>
      <c r="V53" s="7" t="s">
        <v>300</v>
      </c>
      <c r="W53" s="7" t="s">
        <v>41</v>
      </c>
      <c r="X53" s="7" t="s">
        <v>301</v>
      </c>
      <c r="Y53" s="7" t="s">
        <v>62</v>
      </c>
      <c r="Z53" s="7" t="s">
        <v>75</v>
      </c>
      <c r="AA53" s="7" t="s">
        <v>62</v>
      </c>
      <c r="AB53" s="7" t="s">
        <v>63</v>
      </c>
      <c r="AC53" s="7" t="s">
        <v>64</v>
      </c>
      <c r="AD53" s="7" t="s">
        <v>108</v>
      </c>
      <c r="AE53" s="7" t="s">
        <v>179</v>
      </c>
    </row>
    <row r="54" spans="1:31" s="8" customFormat="1" ht="15" customHeight="1" x14ac:dyDescent="0.25">
      <c r="A54" s="4">
        <v>3155</v>
      </c>
      <c r="B54" s="4" t="s">
        <v>345</v>
      </c>
      <c r="C54" s="4" t="s">
        <v>43</v>
      </c>
      <c r="D54" s="4" t="s">
        <v>90</v>
      </c>
      <c r="E54" s="4" t="s">
        <v>346</v>
      </c>
      <c r="F54" s="4" t="s">
        <v>275</v>
      </c>
      <c r="G54" s="4" t="s">
        <v>347</v>
      </c>
      <c r="H54" s="4">
        <v>1213152</v>
      </c>
      <c r="I54" s="5">
        <v>2009</v>
      </c>
      <c r="J54" s="6"/>
      <c r="K54" s="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s="8" customFormat="1" ht="15" customHeight="1" x14ac:dyDescent="0.25">
      <c r="A55" s="4"/>
      <c r="B55" s="4" t="s">
        <v>348</v>
      </c>
      <c r="C55" s="4" t="s">
        <v>43</v>
      </c>
      <c r="D55" s="4" t="s">
        <v>90</v>
      </c>
      <c r="E55" s="4" t="s">
        <v>346</v>
      </c>
      <c r="F55" s="4" t="s">
        <v>349</v>
      </c>
      <c r="G55" s="4" t="s">
        <v>350</v>
      </c>
      <c r="H55" s="4" t="s">
        <v>351</v>
      </c>
      <c r="I55" s="5">
        <v>2012</v>
      </c>
      <c r="J55" s="6"/>
      <c r="K55" s="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s="8" customFormat="1" ht="15" customHeight="1" x14ac:dyDescent="0.25">
      <c r="A56" s="4"/>
      <c r="B56" s="4"/>
      <c r="C56" s="4" t="s">
        <v>147</v>
      </c>
      <c r="D56" s="9" t="s">
        <v>147</v>
      </c>
      <c r="E56" s="4" t="s">
        <v>352</v>
      </c>
      <c r="F56" s="4" t="s">
        <v>46</v>
      </c>
      <c r="G56" s="4" t="s">
        <v>353</v>
      </c>
      <c r="H56" s="4">
        <v>46838</v>
      </c>
      <c r="I56" s="5">
        <v>1997</v>
      </c>
      <c r="J56" s="6"/>
      <c r="K56" s="6"/>
      <c r="L56" s="7" t="s">
        <v>36</v>
      </c>
      <c r="M56" s="7" t="s">
        <v>354</v>
      </c>
      <c r="N56" s="7" t="s">
        <v>355</v>
      </c>
      <c r="O56" s="7" t="s">
        <v>356</v>
      </c>
      <c r="P56" s="7" t="s">
        <v>357</v>
      </c>
      <c r="Q56" s="7" t="s">
        <v>358</v>
      </c>
      <c r="R56" s="7" t="s">
        <v>38</v>
      </c>
      <c r="S56" s="7" t="s">
        <v>39</v>
      </c>
      <c r="T56" s="7" t="s">
        <v>36</v>
      </c>
      <c r="U56" s="7"/>
      <c r="V56" s="7" t="s">
        <v>359</v>
      </c>
      <c r="W56" s="7" t="s">
        <v>41</v>
      </c>
      <c r="X56" s="7" t="s">
        <v>59</v>
      </c>
      <c r="Y56" s="7" t="s">
        <v>62</v>
      </c>
      <c r="Z56" s="7" t="s">
        <v>75</v>
      </c>
      <c r="AA56" s="7" t="s">
        <v>62</v>
      </c>
      <c r="AB56" s="7" t="s">
        <v>63</v>
      </c>
      <c r="AC56" s="7" t="s">
        <v>64</v>
      </c>
      <c r="AD56" s="7" t="s">
        <v>108</v>
      </c>
      <c r="AE56" s="7" t="s">
        <v>187</v>
      </c>
    </row>
    <row r="57" spans="1:31" s="8" customFormat="1" ht="15" customHeight="1" x14ac:dyDescent="0.25">
      <c r="A57" s="4">
        <v>1500</v>
      </c>
      <c r="B57" s="4"/>
      <c r="C57" s="4" t="s">
        <v>147</v>
      </c>
      <c r="D57" s="9" t="s">
        <v>147</v>
      </c>
      <c r="E57" s="4" t="s">
        <v>360</v>
      </c>
      <c r="F57" s="4" t="s">
        <v>361</v>
      </c>
      <c r="G57" s="4" t="s">
        <v>362</v>
      </c>
      <c r="H57" s="4" t="s">
        <v>363</v>
      </c>
      <c r="I57" s="5">
        <v>1998</v>
      </c>
      <c r="J57" s="6"/>
      <c r="K57" s="6"/>
      <c r="L57" s="7" t="s">
        <v>36</v>
      </c>
      <c r="M57" s="7" t="s">
        <v>354</v>
      </c>
      <c r="N57" s="7" t="s">
        <v>355</v>
      </c>
      <c r="O57" s="7" t="s">
        <v>356</v>
      </c>
      <c r="P57" s="7" t="s">
        <v>357</v>
      </c>
      <c r="Q57" s="7" t="s">
        <v>358</v>
      </c>
      <c r="R57" s="7" t="s">
        <v>38</v>
      </c>
      <c r="S57" s="7" t="s">
        <v>39</v>
      </c>
      <c r="T57" s="7" t="s">
        <v>36</v>
      </c>
      <c r="U57" s="7"/>
      <c r="V57" s="7" t="s">
        <v>359</v>
      </c>
      <c r="W57" s="7" t="s">
        <v>41</v>
      </c>
      <c r="X57" s="7" t="s">
        <v>59</v>
      </c>
      <c r="Y57" s="7" t="s">
        <v>62</v>
      </c>
      <c r="Z57" s="7" t="s">
        <v>75</v>
      </c>
      <c r="AA57" s="7" t="s">
        <v>62</v>
      </c>
      <c r="AB57" s="7" t="s">
        <v>63</v>
      </c>
      <c r="AC57" s="7" t="s">
        <v>64</v>
      </c>
      <c r="AD57" s="7" t="s">
        <v>108</v>
      </c>
      <c r="AE57" s="7" t="s">
        <v>187</v>
      </c>
    </row>
    <row r="58" spans="1:31" s="8" customFormat="1" ht="15" customHeight="1" x14ac:dyDescent="0.25">
      <c r="A58" s="4"/>
      <c r="B58" s="4" t="s">
        <v>364</v>
      </c>
      <c r="C58" s="4" t="s">
        <v>365</v>
      </c>
      <c r="D58" s="4" t="s">
        <v>194</v>
      </c>
      <c r="E58" s="4" t="s">
        <v>366</v>
      </c>
      <c r="F58" s="4" t="s">
        <v>367</v>
      </c>
      <c r="G58" s="4"/>
      <c r="H58" s="4"/>
      <c r="I58" s="5">
        <v>2012</v>
      </c>
      <c r="J58" s="6"/>
      <c r="K58" s="6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s="8" customFormat="1" ht="15" customHeight="1" x14ac:dyDescent="0.25">
      <c r="A59" s="4" t="s">
        <v>368</v>
      </c>
      <c r="B59" s="4"/>
      <c r="C59" s="4" t="s">
        <v>31</v>
      </c>
      <c r="D59" s="4" t="s">
        <v>32</v>
      </c>
      <c r="E59" s="4" t="s">
        <v>369</v>
      </c>
      <c r="F59" s="4" t="s">
        <v>370</v>
      </c>
      <c r="G59" s="4" t="s">
        <v>371</v>
      </c>
      <c r="H59" s="4">
        <v>26</v>
      </c>
      <c r="I59" s="5">
        <v>2011</v>
      </c>
      <c r="J59" s="6"/>
      <c r="K59" s="6"/>
      <c r="L59" s="7" t="s">
        <v>36</v>
      </c>
      <c r="M59" s="7" t="s">
        <v>37</v>
      </c>
      <c r="N59" s="7"/>
      <c r="O59" s="7"/>
      <c r="P59" s="7"/>
      <c r="Q59" s="7"/>
      <c r="R59" s="7" t="s">
        <v>38</v>
      </c>
      <c r="S59" s="7" t="s">
        <v>39</v>
      </c>
      <c r="T59" s="7"/>
      <c r="U59" s="7" t="s">
        <v>40</v>
      </c>
      <c r="V59" s="7"/>
      <c r="W59" s="7" t="s">
        <v>41</v>
      </c>
      <c r="X59" s="7"/>
      <c r="Y59" s="7"/>
      <c r="Z59" s="7"/>
      <c r="AA59" s="7"/>
      <c r="AB59" s="7"/>
      <c r="AC59" s="7"/>
      <c r="AD59" s="7"/>
      <c r="AE59" s="7"/>
    </row>
    <row r="60" spans="1:31" s="8" customFormat="1" ht="15" customHeight="1" x14ac:dyDescent="0.25">
      <c r="A60" s="4">
        <v>3189</v>
      </c>
      <c r="B60" s="4" t="s">
        <v>372</v>
      </c>
      <c r="C60" s="4" t="s">
        <v>43</v>
      </c>
      <c r="D60" s="9" t="s">
        <v>90</v>
      </c>
      <c r="E60" s="4" t="s">
        <v>373</v>
      </c>
      <c r="F60" s="4" t="s">
        <v>275</v>
      </c>
      <c r="G60" s="4" t="s">
        <v>374</v>
      </c>
      <c r="H60" s="4">
        <v>286</v>
      </c>
      <c r="I60" s="5">
        <v>2008</v>
      </c>
      <c r="J60" s="6"/>
      <c r="K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s="8" customFormat="1" ht="15" customHeight="1" x14ac:dyDescent="0.25">
      <c r="A61" s="4">
        <v>3395</v>
      </c>
      <c r="B61" s="4"/>
      <c r="C61" s="4" t="s">
        <v>43</v>
      </c>
      <c r="D61" s="4" t="s">
        <v>49</v>
      </c>
      <c r="E61" s="4" t="s">
        <v>375</v>
      </c>
      <c r="F61" s="4" t="s">
        <v>376</v>
      </c>
      <c r="G61" s="4" t="s">
        <v>377</v>
      </c>
      <c r="H61" s="4" t="s">
        <v>36</v>
      </c>
      <c r="I61" s="5">
        <v>2007</v>
      </c>
      <c r="J61" s="6"/>
      <c r="K61" s="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s="8" customFormat="1" ht="15" customHeight="1" x14ac:dyDescent="0.25">
      <c r="A62" s="4">
        <v>1476</v>
      </c>
      <c r="B62" s="4"/>
      <c r="C62" s="4" t="s">
        <v>43</v>
      </c>
      <c r="D62" s="9" t="s">
        <v>49</v>
      </c>
      <c r="E62" s="4" t="s">
        <v>378</v>
      </c>
      <c r="F62" s="4" t="s">
        <v>379</v>
      </c>
      <c r="G62" s="4" t="s">
        <v>380</v>
      </c>
      <c r="H62" s="4">
        <v>952142</v>
      </c>
      <c r="I62" s="5">
        <v>2008</v>
      </c>
      <c r="J62" s="6"/>
      <c r="K62" s="6"/>
      <c r="L62" s="7" t="s">
        <v>36</v>
      </c>
      <c r="M62" s="7" t="s">
        <v>52</v>
      </c>
      <c r="N62" s="7" t="s">
        <v>124</v>
      </c>
      <c r="O62" s="7" t="s">
        <v>381</v>
      </c>
      <c r="P62" s="7" t="s">
        <v>382</v>
      </c>
      <c r="Q62" s="7" t="s">
        <v>383</v>
      </c>
      <c r="R62" s="7" t="s">
        <v>38</v>
      </c>
      <c r="S62" s="7" t="s">
        <v>39</v>
      </c>
      <c r="T62" s="7" t="s">
        <v>36</v>
      </c>
      <c r="U62" s="7" t="s">
        <v>40</v>
      </c>
      <c r="V62" s="7" t="s">
        <v>384</v>
      </c>
      <c r="W62" s="7" t="s">
        <v>41</v>
      </c>
      <c r="X62" s="7" t="s">
        <v>59</v>
      </c>
      <c r="Y62" s="7" t="s">
        <v>60</v>
      </c>
      <c r="Z62" s="7" t="s">
        <v>61</v>
      </c>
      <c r="AA62" s="7" t="s">
        <v>62</v>
      </c>
      <c r="AB62" s="7" t="s">
        <v>63</v>
      </c>
      <c r="AC62" s="7" t="s">
        <v>64</v>
      </c>
      <c r="AD62" s="7" t="s">
        <v>65</v>
      </c>
      <c r="AE62" s="7" t="s">
        <v>66</v>
      </c>
    </row>
    <row r="63" spans="1:31" s="8" customFormat="1" ht="15" customHeight="1" x14ac:dyDescent="0.25">
      <c r="A63" s="4">
        <v>3422</v>
      </c>
      <c r="B63" s="4"/>
      <c r="C63" s="4" t="s">
        <v>385</v>
      </c>
      <c r="D63" s="9" t="s">
        <v>385</v>
      </c>
      <c r="E63" s="4" t="s">
        <v>386</v>
      </c>
      <c r="F63" s="4" t="s">
        <v>387</v>
      </c>
      <c r="G63" s="4">
        <v>37343</v>
      </c>
      <c r="H63" s="4">
        <v>276688</v>
      </c>
      <c r="I63" s="5">
        <v>2006</v>
      </c>
      <c r="J63" s="6"/>
      <c r="K63" s="6"/>
      <c r="L63" s="7" t="s">
        <v>36</v>
      </c>
      <c r="M63" s="7" t="s">
        <v>37</v>
      </c>
      <c r="N63" s="7"/>
      <c r="O63" s="7" t="s">
        <v>388</v>
      </c>
      <c r="P63" s="7"/>
      <c r="Q63" s="7" t="s">
        <v>389</v>
      </c>
      <c r="R63" s="7" t="s">
        <v>38</v>
      </c>
      <c r="S63" s="7" t="s">
        <v>39</v>
      </c>
      <c r="T63" s="7" t="s">
        <v>36</v>
      </c>
      <c r="U63" s="7" t="s">
        <v>40</v>
      </c>
      <c r="V63" s="7"/>
      <c r="W63" s="7" t="s">
        <v>41</v>
      </c>
      <c r="X63" s="7"/>
      <c r="Y63" s="7"/>
      <c r="Z63" s="7"/>
      <c r="AA63" s="7"/>
      <c r="AB63" s="7"/>
      <c r="AC63" s="7"/>
      <c r="AD63" s="7"/>
      <c r="AE63" s="7"/>
    </row>
    <row r="64" spans="1:31" s="8" customFormat="1" ht="15" customHeight="1" x14ac:dyDescent="0.25">
      <c r="A64" s="4">
        <v>1404</v>
      </c>
      <c r="B64" s="4"/>
      <c r="C64" s="4" t="s">
        <v>390</v>
      </c>
      <c r="D64" s="9" t="s">
        <v>391</v>
      </c>
      <c r="E64" s="4" t="s">
        <v>392</v>
      </c>
      <c r="F64" s="4" t="s">
        <v>393</v>
      </c>
      <c r="G64" s="4" t="s">
        <v>36</v>
      </c>
      <c r="H64" s="4">
        <v>9506121627</v>
      </c>
      <c r="I64" s="5">
        <v>2006</v>
      </c>
      <c r="J64" s="6"/>
      <c r="K64" s="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s="8" customFormat="1" ht="15" customHeight="1" x14ac:dyDescent="0.25">
      <c r="A65" s="4">
        <v>4906</v>
      </c>
      <c r="B65" s="4" t="s">
        <v>394</v>
      </c>
      <c r="C65" s="4" t="s">
        <v>43</v>
      </c>
      <c r="D65" s="4" t="s">
        <v>90</v>
      </c>
      <c r="E65" s="4" t="s">
        <v>395</v>
      </c>
      <c r="F65" s="4" t="s">
        <v>396</v>
      </c>
      <c r="G65" s="4">
        <v>8000</v>
      </c>
      <c r="H65" s="4" t="s">
        <v>397</v>
      </c>
      <c r="I65" s="5">
        <v>2009</v>
      </c>
      <c r="J65" s="6"/>
      <c r="K65" s="6"/>
      <c r="L65" s="7" t="s">
        <v>398</v>
      </c>
      <c r="M65" s="7" t="s">
        <v>37</v>
      </c>
      <c r="N65" s="7" t="s">
        <v>399</v>
      </c>
      <c r="O65" s="7" t="s">
        <v>400</v>
      </c>
      <c r="P65" s="7" t="s">
        <v>401</v>
      </c>
      <c r="Q65" s="7" t="s">
        <v>402</v>
      </c>
      <c r="R65" s="7" t="s">
        <v>38</v>
      </c>
      <c r="S65" s="7" t="s">
        <v>39</v>
      </c>
      <c r="T65" s="7" t="s">
        <v>36</v>
      </c>
      <c r="U65" s="7" t="s">
        <v>40</v>
      </c>
      <c r="V65" s="7" t="s">
        <v>104</v>
      </c>
      <c r="W65" s="7" t="s">
        <v>41</v>
      </c>
      <c r="X65" s="7" t="s">
        <v>105</v>
      </c>
      <c r="Y65" s="7" t="s">
        <v>60</v>
      </c>
      <c r="Z65" s="7" t="s">
        <v>162</v>
      </c>
      <c r="AA65" s="7" t="s">
        <v>62</v>
      </c>
      <c r="AB65" s="7" t="s">
        <v>76</v>
      </c>
      <c r="AC65" s="7" t="s">
        <v>64</v>
      </c>
      <c r="AD65" s="7" t="s">
        <v>65</v>
      </c>
      <c r="AE65" s="7" t="s">
        <v>187</v>
      </c>
    </row>
    <row r="66" spans="1:31" s="12" customFormat="1" ht="15" customHeight="1" x14ac:dyDescent="0.25">
      <c r="A66" s="4" t="s">
        <v>403</v>
      </c>
      <c r="B66" s="4"/>
      <c r="C66" s="4" t="s">
        <v>390</v>
      </c>
      <c r="D66" s="9" t="s">
        <v>404</v>
      </c>
      <c r="E66" s="4" t="s">
        <v>405</v>
      </c>
      <c r="F66" s="4" t="s">
        <v>361</v>
      </c>
      <c r="G66" s="4" t="s">
        <v>406</v>
      </c>
      <c r="H66" s="4">
        <v>22430</v>
      </c>
      <c r="I66" s="5">
        <v>2001</v>
      </c>
      <c r="J66" s="6"/>
      <c r="K66" s="6"/>
      <c r="L66" s="7" t="s">
        <v>36</v>
      </c>
      <c r="M66" s="7" t="s">
        <v>37</v>
      </c>
      <c r="N66" s="7" t="s">
        <v>407</v>
      </c>
      <c r="O66" s="7" t="s">
        <v>408</v>
      </c>
      <c r="P66" s="7" t="s">
        <v>409</v>
      </c>
      <c r="Q66" s="7" t="s">
        <v>410</v>
      </c>
      <c r="R66" s="7" t="s">
        <v>38</v>
      </c>
      <c r="S66" s="7" t="s">
        <v>39</v>
      </c>
      <c r="T66" s="7" t="s">
        <v>411</v>
      </c>
      <c r="U66" s="7" t="s">
        <v>40</v>
      </c>
      <c r="V66" s="7" t="s">
        <v>412</v>
      </c>
      <c r="W66" s="7" t="s">
        <v>41</v>
      </c>
      <c r="X66" s="7" t="s">
        <v>59</v>
      </c>
      <c r="Y66" s="7" t="s">
        <v>60</v>
      </c>
      <c r="Z66" s="7" t="s">
        <v>61</v>
      </c>
      <c r="AA66" s="7" t="s">
        <v>62</v>
      </c>
      <c r="AB66" s="7" t="s">
        <v>63</v>
      </c>
      <c r="AC66" s="7" t="s">
        <v>64</v>
      </c>
      <c r="AD66" s="7" t="s">
        <v>108</v>
      </c>
      <c r="AE66" s="7" t="s">
        <v>179</v>
      </c>
    </row>
    <row r="67" spans="1:31" s="8" customFormat="1" ht="15" customHeight="1" x14ac:dyDescent="0.25">
      <c r="A67" s="4" t="s">
        <v>413</v>
      </c>
      <c r="B67" s="4"/>
      <c r="C67" s="4" t="s">
        <v>390</v>
      </c>
      <c r="D67" s="9" t="s">
        <v>404</v>
      </c>
      <c r="E67" s="4" t="s">
        <v>405</v>
      </c>
      <c r="F67" s="4" t="s">
        <v>414</v>
      </c>
      <c r="G67" s="4">
        <v>760</v>
      </c>
      <c r="H67" s="4">
        <v>3501990031</v>
      </c>
      <c r="I67" s="5">
        <v>2000</v>
      </c>
      <c r="J67" s="6"/>
      <c r="K67" s="6"/>
      <c r="L67" s="7" t="s">
        <v>36</v>
      </c>
      <c r="M67" s="7" t="s">
        <v>37</v>
      </c>
      <c r="N67" s="7" t="s">
        <v>407</v>
      </c>
      <c r="O67" s="7" t="s">
        <v>408</v>
      </c>
      <c r="P67" s="7" t="s">
        <v>409</v>
      </c>
      <c r="Q67" s="7" t="s">
        <v>410</v>
      </c>
      <c r="R67" s="7" t="s">
        <v>38</v>
      </c>
      <c r="S67" s="7" t="s">
        <v>39</v>
      </c>
      <c r="T67" s="7" t="s">
        <v>411</v>
      </c>
      <c r="U67" s="7" t="s">
        <v>40</v>
      </c>
      <c r="V67" s="7" t="s">
        <v>412</v>
      </c>
      <c r="W67" s="7" t="s">
        <v>41</v>
      </c>
      <c r="X67" s="7" t="s">
        <v>59</v>
      </c>
      <c r="Y67" s="7" t="s">
        <v>60</v>
      </c>
      <c r="Z67" s="7" t="s">
        <v>61</v>
      </c>
      <c r="AA67" s="7" t="s">
        <v>62</v>
      </c>
      <c r="AB67" s="7" t="s">
        <v>63</v>
      </c>
      <c r="AC67" s="7" t="s">
        <v>64</v>
      </c>
      <c r="AD67" s="7" t="s">
        <v>108</v>
      </c>
      <c r="AE67" s="7" t="s">
        <v>179</v>
      </c>
    </row>
    <row r="68" spans="1:31" s="8" customFormat="1" ht="15" customHeight="1" x14ac:dyDescent="0.25">
      <c r="A68" s="4" t="s">
        <v>415</v>
      </c>
      <c r="B68" s="4"/>
      <c r="C68" s="4" t="s">
        <v>390</v>
      </c>
      <c r="D68" s="9" t="s">
        <v>166</v>
      </c>
      <c r="E68" s="4" t="s">
        <v>405</v>
      </c>
      <c r="F68" s="4" t="s">
        <v>416</v>
      </c>
      <c r="G68" s="4" t="s">
        <v>417</v>
      </c>
      <c r="H68" s="4" t="s">
        <v>418</v>
      </c>
      <c r="I68" s="5">
        <v>2012</v>
      </c>
      <c r="J68" s="6"/>
      <c r="K68" s="6"/>
      <c r="L68" s="7" t="s">
        <v>36</v>
      </c>
      <c r="M68" s="7" t="s">
        <v>37</v>
      </c>
      <c r="N68" s="7" t="s">
        <v>407</v>
      </c>
      <c r="O68" s="7" t="s">
        <v>408</v>
      </c>
      <c r="P68" s="7" t="s">
        <v>409</v>
      </c>
      <c r="Q68" s="7" t="s">
        <v>410</v>
      </c>
      <c r="R68" s="7" t="s">
        <v>38</v>
      </c>
      <c r="S68" s="7" t="s">
        <v>39</v>
      </c>
      <c r="T68" s="7" t="s">
        <v>411</v>
      </c>
      <c r="U68" s="7" t="s">
        <v>40</v>
      </c>
      <c r="V68" s="7" t="s">
        <v>412</v>
      </c>
      <c r="W68" s="7" t="s">
        <v>41</v>
      </c>
      <c r="X68" s="7" t="s">
        <v>59</v>
      </c>
      <c r="Y68" s="7" t="s">
        <v>60</v>
      </c>
      <c r="Z68" s="7" t="s">
        <v>61</v>
      </c>
      <c r="AA68" s="7" t="s">
        <v>62</v>
      </c>
      <c r="AB68" s="7" t="s">
        <v>63</v>
      </c>
      <c r="AC68" s="7" t="s">
        <v>64</v>
      </c>
      <c r="AD68" s="7" t="s">
        <v>108</v>
      </c>
      <c r="AE68" s="7" t="s">
        <v>179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topLeftCell="A25" zoomScale="90" zoomScaleNormal="90" workbookViewId="0">
      <selection activeCell="K9" sqref="K9"/>
    </sheetView>
  </sheetViews>
  <sheetFormatPr baseColWidth="10" defaultColWidth="9.140625" defaultRowHeight="15" x14ac:dyDescent="0.25"/>
  <cols>
    <col min="1" max="4" width="10.7109375"/>
    <col min="5" max="5" width="15.28515625"/>
    <col min="6" max="1025" width="10.7109375"/>
  </cols>
  <sheetData>
    <row r="1" spans="1:8" ht="15" customHeight="1" x14ac:dyDescent="0.25">
      <c r="A1" s="89" t="s">
        <v>419</v>
      </c>
      <c r="B1" s="89"/>
      <c r="C1" s="89"/>
      <c r="D1" s="89"/>
      <c r="E1" s="89"/>
      <c r="F1" s="95" t="s">
        <v>420</v>
      </c>
      <c r="G1" s="95"/>
      <c r="H1" s="95"/>
    </row>
    <row r="2" spans="1:8" ht="15" customHeight="1" x14ac:dyDescent="0.25">
      <c r="A2" s="89" t="s">
        <v>421</v>
      </c>
      <c r="B2" s="89"/>
      <c r="C2" s="89"/>
      <c r="D2" s="89"/>
      <c r="E2" s="89"/>
      <c r="F2" s="93" t="s">
        <v>422</v>
      </c>
      <c r="G2" s="93"/>
      <c r="H2" s="93"/>
    </row>
    <row r="3" spans="1:8" ht="15" customHeight="1" x14ac:dyDescent="0.25">
      <c r="A3" s="89" t="s">
        <v>423</v>
      </c>
      <c r="B3" s="89"/>
      <c r="C3" s="89"/>
      <c r="D3" s="89"/>
      <c r="E3" s="89"/>
      <c r="F3" s="93" t="s">
        <v>424</v>
      </c>
      <c r="G3" s="93"/>
      <c r="H3" s="93"/>
    </row>
    <row r="4" spans="1:8" ht="15" customHeight="1" x14ac:dyDescent="0.25">
      <c r="A4" s="89" t="s">
        <v>425</v>
      </c>
      <c r="B4" s="89"/>
      <c r="C4" s="89"/>
      <c r="D4" s="89"/>
      <c r="E4" s="89"/>
      <c r="F4" s="93" t="s">
        <v>426</v>
      </c>
      <c r="G4" s="93"/>
      <c r="H4" s="93"/>
    </row>
    <row r="5" spans="1:8" ht="15" customHeight="1" x14ac:dyDescent="0.25">
      <c r="A5" s="90" t="s">
        <v>3</v>
      </c>
      <c r="B5" s="90"/>
      <c r="C5" s="94" t="e">
        <f>VLOOKUP(F13,'Listado Equipos'!A1:AE68,3,0)</f>
        <v>#N/A</v>
      </c>
      <c r="D5" s="94"/>
      <c r="E5" s="15" t="s">
        <v>427</v>
      </c>
      <c r="F5" s="16" t="s">
        <v>428</v>
      </c>
      <c r="G5" s="16" t="s">
        <v>429</v>
      </c>
      <c r="H5" s="14" t="s">
        <v>430</v>
      </c>
    </row>
    <row r="6" spans="1:8" ht="17.25" customHeight="1" x14ac:dyDescent="0.25">
      <c r="A6" s="90"/>
      <c r="B6" s="90"/>
      <c r="C6" s="94"/>
      <c r="D6" s="94"/>
      <c r="E6" s="17" t="s">
        <v>431</v>
      </c>
      <c r="F6" s="18" t="s">
        <v>432</v>
      </c>
      <c r="G6" s="19"/>
      <c r="H6" s="20"/>
    </row>
    <row r="7" spans="1:8" ht="15" customHeight="1" x14ac:dyDescent="0.25">
      <c r="A7" s="90" t="s">
        <v>4</v>
      </c>
      <c r="B7" s="90"/>
      <c r="C7" s="86" t="e">
        <f>VLOOKUP(F13,'Listado Equipos'!A1:AE68,4,0)</f>
        <v>#N/A</v>
      </c>
      <c r="D7" s="86"/>
      <c r="E7" s="87" t="s">
        <v>5</v>
      </c>
      <c r="F7" s="88" t="e">
        <f>VLOOKUP(F13,'Listado Equipos'!A1:AE68,5,0)</f>
        <v>#N/A</v>
      </c>
      <c r="G7" s="88"/>
      <c r="H7" s="88"/>
    </row>
    <row r="8" spans="1:8" ht="15" customHeight="1" x14ac:dyDescent="0.25">
      <c r="A8" s="90"/>
      <c r="B8" s="90"/>
      <c r="C8" s="86"/>
      <c r="D8" s="86"/>
      <c r="E8" s="87"/>
      <c r="F8" s="88"/>
      <c r="G8" s="88"/>
      <c r="H8" s="88"/>
    </row>
    <row r="9" spans="1:8" ht="15" customHeight="1" x14ac:dyDescent="0.25">
      <c r="A9" s="90" t="s">
        <v>6</v>
      </c>
      <c r="B9" s="90"/>
      <c r="C9" s="86" t="e">
        <f>VLOOKUP(F13,'Listado Equipos'!A1:AE68,6,0)</f>
        <v>#N/A</v>
      </c>
      <c r="D9" s="86"/>
      <c r="E9" s="15" t="s">
        <v>433</v>
      </c>
      <c r="F9" s="91" t="e">
        <f>VLOOKUP(F13,'Listado Equipos'!A1:AE68,8,0)</f>
        <v>#N/A</v>
      </c>
      <c r="G9" s="91"/>
      <c r="H9" s="91"/>
    </row>
    <row r="10" spans="1:8" ht="16.5" customHeight="1" x14ac:dyDescent="0.25">
      <c r="A10" s="90"/>
      <c r="B10" s="90"/>
      <c r="C10" s="86"/>
      <c r="D10" s="86"/>
      <c r="E10" s="21" t="s">
        <v>434</v>
      </c>
      <c r="F10" s="91"/>
      <c r="G10" s="91"/>
      <c r="H10" s="91"/>
    </row>
    <row r="11" spans="1:8" ht="15" customHeight="1" x14ac:dyDescent="0.25">
      <c r="A11" s="90" t="s">
        <v>435</v>
      </c>
      <c r="B11" s="90"/>
      <c r="C11" s="92" t="e">
        <f>VLOOKUP(F13,'Listado Equipos'!A1:AE68,7,0)</f>
        <v>#N/A</v>
      </c>
      <c r="D11" s="92"/>
      <c r="E11" s="22" t="s">
        <v>433</v>
      </c>
      <c r="F11" s="91" t="e">
        <f>VLOOKUP(F13,'Listado Equipos'!A1:AE68,9,0)</f>
        <v>#N/A</v>
      </c>
      <c r="G11" s="91"/>
      <c r="H11" s="91"/>
    </row>
    <row r="12" spans="1:8" ht="15" customHeight="1" x14ac:dyDescent="0.25">
      <c r="A12" s="90"/>
      <c r="B12" s="90"/>
      <c r="C12" s="92"/>
      <c r="D12" s="92"/>
      <c r="E12" s="21" t="s">
        <v>436</v>
      </c>
      <c r="F12" s="91"/>
      <c r="G12" s="91"/>
      <c r="H12" s="91"/>
    </row>
    <row r="13" spans="1:8" ht="15" customHeight="1" x14ac:dyDescent="0.25">
      <c r="A13" s="85" t="s">
        <v>437</v>
      </c>
      <c r="B13" s="85"/>
      <c r="C13" s="86" t="e">
        <f>VLOOKUP(F13,'Listado Equipos'!A1:AD68,2,0)</f>
        <v>#N/A</v>
      </c>
      <c r="D13" s="86"/>
      <c r="E13" s="87" t="s">
        <v>0</v>
      </c>
      <c r="F13" s="88">
        <v>0</v>
      </c>
      <c r="G13" s="88"/>
      <c r="H13" s="88"/>
    </row>
    <row r="14" spans="1:8" ht="15" customHeight="1" x14ac:dyDescent="0.25">
      <c r="A14" s="85"/>
      <c r="B14" s="85"/>
      <c r="C14" s="86"/>
      <c r="D14" s="86"/>
      <c r="E14" s="87"/>
      <c r="F14" s="88"/>
      <c r="G14" s="88"/>
      <c r="H14" s="88"/>
    </row>
    <row r="15" spans="1:8" ht="21.75" customHeight="1" x14ac:dyDescent="0.25">
      <c r="A15" s="89" t="s">
        <v>438</v>
      </c>
      <c r="B15" s="89"/>
      <c r="C15" s="86" t="e">
        <f>VLOOKUP(F13,'Listado Equipos'!A1:AD41,3,0)</f>
        <v>#N/A</v>
      </c>
      <c r="D15" s="86"/>
      <c r="E15" s="86"/>
      <c r="F15" s="86"/>
      <c r="G15" s="86"/>
      <c r="H15" s="86"/>
    </row>
    <row r="16" spans="1:8" ht="15" customHeight="1" x14ac:dyDescent="0.25">
      <c r="A16" s="82" t="s">
        <v>439</v>
      </c>
      <c r="B16" s="82"/>
      <c r="C16" s="82"/>
      <c r="D16" s="82"/>
      <c r="E16" s="82"/>
      <c r="F16" s="82"/>
      <c r="G16" s="82"/>
      <c r="H16" s="82"/>
    </row>
    <row r="17" spans="1:8" ht="15" customHeight="1" x14ac:dyDescent="0.25">
      <c r="A17" s="83" t="e">
        <f>VLOOKUP(F13,'Listado Equipos'!A1:AE68,11,0)</f>
        <v>#N/A</v>
      </c>
      <c r="B17" s="83"/>
      <c r="C17" s="83"/>
      <c r="D17" s="83"/>
      <c r="E17" s="83"/>
      <c r="F17" s="83"/>
      <c r="G17" s="83"/>
      <c r="H17" s="83"/>
    </row>
    <row r="18" spans="1:8" ht="15" customHeight="1" x14ac:dyDescent="0.25">
      <c r="A18" s="83"/>
      <c r="B18" s="83"/>
      <c r="C18" s="83"/>
      <c r="D18" s="83"/>
      <c r="E18" s="83"/>
      <c r="F18" s="83"/>
      <c r="G18" s="83"/>
      <c r="H18" s="83"/>
    </row>
    <row r="19" spans="1:8" ht="15" customHeight="1" x14ac:dyDescent="0.25">
      <c r="A19" s="84" t="s">
        <v>440</v>
      </c>
      <c r="B19" s="84"/>
      <c r="C19" s="84"/>
      <c r="D19" s="84"/>
      <c r="E19" s="84"/>
      <c r="F19" s="84"/>
      <c r="G19" s="84"/>
      <c r="H19" s="84"/>
    </row>
    <row r="20" spans="1:8" ht="15" customHeight="1" x14ac:dyDescent="0.25">
      <c r="A20" s="63" t="s">
        <v>441</v>
      </c>
      <c r="B20" s="63"/>
      <c r="C20" s="63"/>
      <c r="D20" s="70" t="s">
        <v>442</v>
      </c>
      <c r="E20" s="70"/>
      <c r="F20" s="71" t="s">
        <v>443</v>
      </c>
      <c r="G20" s="71"/>
      <c r="H20" s="71"/>
    </row>
    <row r="21" spans="1:8" ht="15" customHeight="1" x14ac:dyDescent="0.25">
      <c r="A21" s="80" t="e">
        <f>VLOOKUP(F13,'Listado Equipos'!A1:AE68,12,0)</f>
        <v>#N/A</v>
      </c>
      <c r="B21" s="80"/>
      <c r="C21" s="80"/>
      <c r="D21" s="61" t="e">
        <f>VLOOKUP(F13,'Listado Equipos'!A1:AE68,13,0)</f>
        <v>#N/A</v>
      </c>
      <c r="E21" s="61"/>
      <c r="F21" s="68" t="e">
        <f>VLOOKUP(F13,'Listado Equipos'!A1:AE68,14,0)</f>
        <v>#N/A</v>
      </c>
      <c r="G21" s="68"/>
      <c r="H21" s="68"/>
    </row>
    <row r="22" spans="1:8" ht="15" customHeight="1" x14ac:dyDescent="0.25">
      <c r="A22" s="69" t="s">
        <v>444</v>
      </c>
      <c r="B22" s="69"/>
      <c r="C22" s="69"/>
      <c r="D22" s="64" t="s">
        <v>445</v>
      </c>
      <c r="E22" s="64"/>
      <c r="F22" s="81" t="s">
        <v>446</v>
      </c>
      <c r="G22" s="81"/>
      <c r="H22" s="81"/>
    </row>
    <row r="23" spans="1:8" ht="15" customHeight="1" x14ac:dyDescent="0.25">
      <c r="A23" s="60" t="e">
        <f>VLOOKUP(F13,'Listado Equipos'!A1:AE68,15,0)</f>
        <v>#N/A</v>
      </c>
      <c r="B23" s="60"/>
      <c r="C23" s="60"/>
      <c r="D23" s="77" t="e">
        <f>VLOOKUP(F13,'Listado Equipos'!A1:AE68,16,0)</f>
        <v>#N/A</v>
      </c>
      <c r="E23" s="77"/>
      <c r="F23" s="78" t="e">
        <f>VLOOKUP(F13,'Listado Equipos'!A1:AE68,17,0)</f>
        <v>#N/A</v>
      </c>
      <c r="G23" s="78"/>
      <c r="H23" s="78"/>
    </row>
    <row r="24" spans="1:8" ht="24" customHeight="1" x14ac:dyDescent="0.25">
      <c r="A24" s="69" t="s">
        <v>447</v>
      </c>
      <c r="B24" s="69"/>
      <c r="C24" s="69"/>
      <c r="D24" s="70" t="s">
        <v>448</v>
      </c>
      <c r="E24" s="70"/>
      <c r="F24" s="79" t="s">
        <v>449</v>
      </c>
      <c r="G24" s="79"/>
      <c r="H24" s="79"/>
    </row>
    <row r="25" spans="1:8" ht="15" customHeight="1" x14ac:dyDescent="0.25">
      <c r="A25" s="60" t="e">
        <f>VLOOKUP(F13,'Listado Equipos'!A1:AE68,18,0)</f>
        <v>#N/A</v>
      </c>
      <c r="B25" s="60"/>
      <c r="C25" s="60"/>
      <c r="D25" s="74" t="e">
        <f>VLOOKUP(F13,'Listado Equipos'!A1:AE68,19,0)</f>
        <v>#N/A</v>
      </c>
      <c r="E25" s="74"/>
      <c r="F25" s="75" t="e">
        <f>VLOOKUP(F13,'Listado Equipos'!A1:AE68,20,0)</f>
        <v>#N/A</v>
      </c>
      <c r="G25" s="75"/>
      <c r="H25" s="75"/>
    </row>
    <row r="26" spans="1:8" ht="15" customHeight="1" x14ac:dyDescent="0.25">
      <c r="A26" s="63" t="s">
        <v>450</v>
      </c>
      <c r="B26" s="63"/>
      <c r="C26" s="63"/>
      <c r="D26" s="63"/>
      <c r="E26" s="76" t="s">
        <v>451</v>
      </c>
      <c r="F26" s="76"/>
      <c r="G26" s="76"/>
      <c r="H26" s="76"/>
    </row>
    <row r="27" spans="1:8" ht="15.75" customHeight="1" x14ac:dyDescent="0.25">
      <c r="A27" s="72" t="e">
        <f>VLOOKUP(F13,'Listado Equipos'!A1:AE68,21,0)</f>
        <v>#N/A</v>
      </c>
      <c r="B27" s="72"/>
      <c r="C27" s="72"/>
      <c r="D27" s="72"/>
      <c r="E27" s="73" t="e">
        <f>VLOOKUP(F13,'Listado Equipos'!A1:AE68,22,0)</f>
        <v>#N/A</v>
      </c>
      <c r="F27" s="73"/>
      <c r="G27" s="73"/>
      <c r="H27" s="73"/>
    </row>
    <row r="28" spans="1:8" ht="15.75" customHeight="1" x14ac:dyDescent="0.25">
      <c r="A28" s="58" t="s">
        <v>452</v>
      </c>
      <c r="B28" s="58"/>
      <c r="C28" s="58"/>
      <c r="D28" s="58"/>
      <c r="E28" s="58"/>
      <c r="F28" s="58"/>
      <c r="G28" s="58"/>
      <c r="H28" s="58"/>
    </row>
    <row r="29" spans="1:8" ht="15" customHeight="1" x14ac:dyDescent="0.25">
      <c r="A29" s="69" t="s">
        <v>453</v>
      </c>
      <c r="B29" s="69"/>
      <c r="C29" s="69"/>
      <c r="D29" s="70" t="s">
        <v>454</v>
      </c>
      <c r="E29" s="70"/>
      <c r="F29" s="71" t="s">
        <v>455</v>
      </c>
      <c r="G29" s="71"/>
      <c r="H29" s="71"/>
    </row>
    <row r="30" spans="1:8" ht="15" customHeight="1" x14ac:dyDescent="0.25">
      <c r="A30" s="67" t="e">
        <f>VLOOKUP(F13,'Listado Equipos'!A1:AE68,23,0)</f>
        <v>#N/A</v>
      </c>
      <c r="B30" s="67"/>
      <c r="C30" s="67"/>
      <c r="D30" s="61" t="e">
        <f>VLOOKUP(F13,'Listado Equipos'!A1:AE8,264,0)</f>
        <v>#N/A</v>
      </c>
      <c r="E30" s="61"/>
      <c r="F30" s="68" t="e">
        <f>VLOOKUP(F13,'Listado Equipos'!A1:AE68,25,0)</f>
        <v>#N/A</v>
      </c>
      <c r="G30" s="68"/>
      <c r="H30" s="68"/>
    </row>
    <row r="31" spans="1:8" ht="15" customHeight="1" x14ac:dyDescent="0.25">
      <c r="A31" s="69" t="s">
        <v>456</v>
      </c>
      <c r="B31" s="69"/>
      <c r="C31" s="69"/>
      <c r="D31" s="70" t="s">
        <v>457</v>
      </c>
      <c r="E31" s="70"/>
      <c r="F31" s="71" t="s">
        <v>458</v>
      </c>
      <c r="G31" s="71"/>
      <c r="H31" s="71"/>
    </row>
    <row r="32" spans="1:8" ht="15" customHeight="1" x14ac:dyDescent="0.25">
      <c r="A32" s="60" t="e">
        <f>VLOOKUP(F13,'Listado Equipos'!A1:AE68,26,0)</f>
        <v>#N/A</v>
      </c>
      <c r="B32" s="60"/>
      <c r="C32" s="60"/>
      <c r="D32" s="61" t="e">
        <f>VLOOKUP(F13,'Listado Equipos'!A1:AE68,27,0)</f>
        <v>#N/A</v>
      </c>
      <c r="E32" s="61"/>
      <c r="F32" s="62" t="e">
        <f>VLOOKUP(F13,'Listado Equipos'!A1:AE68,28,0)</f>
        <v>#N/A</v>
      </c>
      <c r="G32" s="62"/>
      <c r="H32" s="62"/>
    </row>
    <row r="33" spans="1:8" ht="15" customHeight="1" x14ac:dyDescent="0.25">
      <c r="A33" s="63" t="s">
        <v>459</v>
      </c>
      <c r="B33" s="63"/>
      <c r="C33" s="63"/>
      <c r="D33" s="64" t="s">
        <v>460</v>
      </c>
      <c r="E33" s="64"/>
      <c r="F33" s="62"/>
      <c r="G33" s="62"/>
      <c r="H33" s="62"/>
    </row>
    <row r="34" spans="1:8" ht="15.75" customHeight="1" x14ac:dyDescent="0.25">
      <c r="A34" s="65" t="e">
        <f>VLOOKUP(F13,'Listado Equipos'!A1:AE68,29,0)</f>
        <v>#N/A</v>
      </c>
      <c r="B34" s="65"/>
      <c r="C34" s="65"/>
      <c r="D34" s="66" t="e">
        <f>VLOOKUP(F13,'Listado Equipos'!A1:AE68,30,0)</f>
        <v>#N/A</v>
      </c>
      <c r="E34" s="66"/>
      <c r="F34" s="62"/>
      <c r="G34" s="62"/>
      <c r="H34" s="62"/>
    </row>
    <row r="35" spans="1:8" ht="15.75" customHeight="1" x14ac:dyDescent="0.25">
      <c r="A35" s="58" t="s">
        <v>461</v>
      </c>
      <c r="B35" s="58"/>
      <c r="C35" s="58"/>
      <c r="D35" s="58"/>
      <c r="E35" s="58"/>
      <c r="F35" s="58"/>
      <c r="G35" s="58"/>
      <c r="H35" s="58"/>
    </row>
    <row r="36" spans="1:8" ht="15" customHeight="1" x14ac:dyDescent="0.25">
      <c r="A36" s="59" t="e">
        <f>VLOOKUP(F13,'Listado Equipos'!A1:AE68,31,0)</f>
        <v>#N/A</v>
      </c>
      <c r="B36" s="59"/>
      <c r="C36" s="59"/>
      <c r="D36" s="59"/>
      <c r="E36" s="59"/>
      <c r="F36" s="59"/>
      <c r="G36" s="59"/>
      <c r="H36" s="59"/>
    </row>
    <row r="37" spans="1:8" ht="15.75" customHeight="1" x14ac:dyDescent="0.25">
      <c r="A37" s="59"/>
      <c r="B37" s="59"/>
      <c r="C37" s="59"/>
      <c r="D37" s="59"/>
      <c r="E37" s="59"/>
      <c r="F37" s="59"/>
      <c r="G37" s="59"/>
      <c r="H37" s="59"/>
    </row>
  </sheetData>
  <mergeCells count="70">
    <mergeCell ref="A1:E1"/>
    <mergeCell ref="F1:H1"/>
    <mergeCell ref="A2:E2"/>
    <mergeCell ref="F2:H2"/>
    <mergeCell ref="A3:E3"/>
    <mergeCell ref="F3:H3"/>
    <mergeCell ref="A4:E4"/>
    <mergeCell ref="F4:H4"/>
    <mergeCell ref="A5:B6"/>
    <mergeCell ref="C5:D6"/>
    <mergeCell ref="A7:B8"/>
    <mergeCell ref="C7:D8"/>
    <mergeCell ref="E7:E8"/>
    <mergeCell ref="F7:H8"/>
    <mergeCell ref="A9:B10"/>
    <mergeCell ref="C9:D10"/>
    <mergeCell ref="F9:H10"/>
    <mergeCell ref="A11:B12"/>
    <mergeCell ref="C11:D12"/>
    <mergeCell ref="F11:H12"/>
    <mergeCell ref="A13:B14"/>
    <mergeCell ref="C13:D14"/>
    <mergeCell ref="E13:E14"/>
    <mergeCell ref="F13:H14"/>
    <mergeCell ref="A15:B15"/>
    <mergeCell ref="C15:H15"/>
    <mergeCell ref="A16:H16"/>
    <mergeCell ref="A17:H18"/>
    <mergeCell ref="A19:H19"/>
    <mergeCell ref="A20:C20"/>
    <mergeCell ref="D20:E20"/>
    <mergeCell ref="F20:H20"/>
    <mergeCell ref="A21:C21"/>
    <mergeCell ref="D21:E21"/>
    <mergeCell ref="F21:H21"/>
    <mergeCell ref="A22:C22"/>
    <mergeCell ref="D22:E22"/>
    <mergeCell ref="F22:H22"/>
    <mergeCell ref="A23:C23"/>
    <mergeCell ref="D23:E23"/>
    <mergeCell ref="F23:H23"/>
    <mergeCell ref="A24:C24"/>
    <mergeCell ref="D24:E24"/>
    <mergeCell ref="F24:H24"/>
    <mergeCell ref="A25:C25"/>
    <mergeCell ref="D25:E25"/>
    <mergeCell ref="F25:H25"/>
    <mergeCell ref="A26:D26"/>
    <mergeCell ref="E26:H26"/>
    <mergeCell ref="A27:D27"/>
    <mergeCell ref="E27:H27"/>
    <mergeCell ref="A28:H28"/>
    <mergeCell ref="A29:C29"/>
    <mergeCell ref="D29:E29"/>
    <mergeCell ref="F29:H29"/>
    <mergeCell ref="A30:C30"/>
    <mergeCell ref="D30:E30"/>
    <mergeCell ref="F30:H30"/>
    <mergeCell ref="A31:C31"/>
    <mergeCell ref="D31:E31"/>
    <mergeCell ref="F31:H31"/>
    <mergeCell ref="A35:H35"/>
    <mergeCell ref="A36:H37"/>
    <mergeCell ref="A32:C32"/>
    <mergeCell ref="D32:E32"/>
    <mergeCell ref="F32:H34"/>
    <mergeCell ref="A33:C33"/>
    <mergeCell ref="D33:E33"/>
    <mergeCell ref="A34:C34"/>
    <mergeCell ref="D34:E3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opLeftCell="A9" zoomScale="90" zoomScaleNormal="90" workbookViewId="0">
      <selection activeCell="A9" sqref="A9"/>
    </sheetView>
  </sheetViews>
  <sheetFormatPr baseColWidth="10" defaultColWidth="9.140625" defaultRowHeight="15" x14ac:dyDescent="0.25"/>
  <cols>
    <col min="1" max="1" width="33.42578125"/>
    <col min="2" max="2" width="21.5703125"/>
    <col min="3" max="3" width="16.42578125"/>
    <col min="4" max="4" width="22.42578125"/>
    <col min="5" max="5" width="22.140625"/>
    <col min="6" max="6" width="16"/>
    <col min="7" max="7" width="10.7109375"/>
    <col min="8" max="8" width="18"/>
    <col min="9" max="10" width="10.7109375"/>
    <col min="11" max="11" width="17.7109375"/>
    <col min="12" max="1025" width="10.7109375"/>
  </cols>
  <sheetData>
    <row r="1" spans="1:11" ht="15" customHeight="1" x14ac:dyDescent="0.25">
      <c r="A1" s="96" t="s">
        <v>462</v>
      </c>
      <c r="B1" s="96"/>
      <c r="C1" s="96"/>
      <c r="D1" s="96"/>
      <c r="E1" s="96"/>
      <c r="F1" s="96"/>
      <c r="G1" s="96"/>
      <c r="H1" s="96"/>
    </row>
    <row r="2" spans="1:11" ht="15" customHeight="1" x14ac:dyDescent="0.25">
      <c r="A2" s="24" t="s">
        <v>463</v>
      </c>
      <c r="B2" s="24" t="s">
        <v>437</v>
      </c>
      <c r="C2" s="96" t="s">
        <v>464</v>
      </c>
      <c r="D2" s="96"/>
      <c r="E2" s="96"/>
      <c r="F2" s="96"/>
      <c r="G2" s="24" t="s">
        <v>465</v>
      </c>
      <c r="H2" s="24" t="s">
        <v>466</v>
      </c>
      <c r="J2" s="24" t="s">
        <v>467</v>
      </c>
      <c r="K2" s="24" t="s">
        <v>466</v>
      </c>
    </row>
    <row r="3" spans="1:11" ht="15" customHeight="1" x14ac:dyDescent="0.25">
      <c r="A3" s="23"/>
      <c r="B3" s="23"/>
      <c r="C3" s="24" t="s">
        <v>468</v>
      </c>
      <c r="D3" s="24" t="s">
        <v>469</v>
      </c>
      <c r="E3" s="24" t="s">
        <v>470</v>
      </c>
      <c r="F3" s="24" t="s">
        <v>471</v>
      </c>
      <c r="G3" s="23"/>
      <c r="H3" s="23"/>
      <c r="J3" s="25" t="s">
        <v>472</v>
      </c>
      <c r="K3" s="23" t="s">
        <v>473</v>
      </c>
    </row>
    <row r="4" spans="1:11" ht="15" customHeight="1" x14ac:dyDescent="0.25">
      <c r="A4" s="13" t="s">
        <v>318</v>
      </c>
      <c r="B4" s="13" t="s">
        <v>83</v>
      </c>
      <c r="C4" s="24">
        <v>5</v>
      </c>
      <c r="D4" s="24">
        <v>5</v>
      </c>
      <c r="E4" s="24">
        <v>5</v>
      </c>
      <c r="F4" s="24">
        <v>4</v>
      </c>
      <c r="G4" s="24">
        <v>19</v>
      </c>
      <c r="H4" s="24" t="s">
        <v>474</v>
      </c>
      <c r="J4" s="23" t="s">
        <v>475</v>
      </c>
      <c r="K4" s="23" t="s">
        <v>476</v>
      </c>
    </row>
    <row r="5" spans="1:11" ht="15" customHeight="1" x14ac:dyDescent="0.25">
      <c r="A5" s="13" t="s">
        <v>242</v>
      </c>
      <c r="B5" s="13" t="s">
        <v>132</v>
      </c>
      <c r="C5" s="24">
        <v>4</v>
      </c>
      <c r="D5" s="24">
        <v>2</v>
      </c>
      <c r="E5" s="24">
        <v>5</v>
      </c>
      <c r="F5" s="24">
        <v>3</v>
      </c>
      <c r="G5" s="24">
        <v>14</v>
      </c>
      <c r="H5" s="24" t="s">
        <v>477</v>
      </c>
      <c r="J5" s="23" t="s">
        <v>478</v>
      </c>
      <c r="K5" s="23" t="s">
        <v>477</v>
      </c>
    </row>
    <row r="6" spans="1:11" ht="15" customHeight="1" x14ac:dyDescent="0.25">
      <c r="A6" s="13" t="s">
        <v>119</v>
      </c>
      <c r="B6" s="13" t="s">
        <v>83</v>
      </c>
      <c r="C6" s="24">
        <v>2</v>
      </c>
      <c r="D6" s="24">
        <v>5</v>
      </c>
      <c r="E6" s="24">
        <v>5</v>
      </c>
      <c r="F6" s="24">
        <v>4</v>
      </c>
      <c r="G6" s="24">
        <v>16</v>
      </c>
      <c r="H6" s="24" t="s">
        <v>477</v>
      </c>
      <c r="J6" s="23" t="s">
        <v>479</v>
      </c>
      <c r="K6" s="23" t="s">
        <v>474</v>
      </c>
    </row>
    <row r="7" spans="1:11" ht="15" customHeight="1" x14ac:dyDescent="0.25">
      <c r="A7" s="13" t="s">
        <v>85</v>
      </c>
      <c r="B7" s="13" t="s">
        <v>43</v>
      </c>
      <c r="C7" s="24">
        <v>4</v>
      </c>
      <c r="D7" s="24">
        <v>4</v>
      </c>
      <c r="E7" s="24">
        <v>5</v>
      </c>
      <c r="F7" s="24">
        <v>5</v>
      </c>
      <c r="G7" s="24">
        <v>18</v>
      </c>
      <c r="H7" s="24" t="s">
        <v>474</v>
      </c>
    </row>
    <row r="8" spans="1:11" ht="15" customHeight="1" x14ac:dyDescent="0.25">
      <c r="A8" s="13" t="s">
        <v>480</v>
      </c>
      <c r="B8" s="13" t="s">
        <v>481</v>
      </c>
      <c r="C8" s="24">
        <v>5</v>
      </c>
      <c r="D8" s="24">
        <v>3</v>
      </c>
      <c r="E8" s="24">
        <v>4</v>
      </c>
      <c r="F8" s="24">
        <v>2</v>
      </c>
      <c r="G8" s="24">
        <v>14</v>
      </c>
      <c r="H8" s="24" t="s">
        <v>477</v>
      </c>
    </row>
    <row r="9" spans="1:11" ht="15" customHeight="1" x14ac:dyDescent="0.25">
      <c r="A9" s="13" t="s">
        <v>482</v>
      </c>
      <c r="B9" s="13" t="s">
        <v>67</v>
      </c>
      <c r="C9" s="24">
        <v>3</v>
      </c>
      <c r="D9" s="24">
        <v>3</v>
      </c>
      <c r="E9" s="24">
        <v>5</v>
      </c>
      <c r="F9" s="24">
        <v>3</v>
      </c>
      <c r="G9" s="24">
        <v>14</v>
      </c>
      <c r="H9" s="24" t="s">
        <v>477</v>
      </c>
    </row>
    <row r="10" spans="1:11" ht="15" customHeight="1" x14ac:dyDescent="0.25">
      <c r="A10" s="13" t="s">
        <v>483</v>
      </c>
      <c r="B10" s="13" t="s">
        <v>484</v>
      </c>
      <c r="C10" s="24">
        <v>5</v>
      </c>
      <c r="D10" s="24">
        <v>3</v>
      </c>
      <c r="E10" s="24">
        <v>5</v>
      </c>
      <c r="F10" s="24">
        <v>5</v>
      </c>
      <c r="G10" s="24">
        <v>18</v>
      </c>
      <c r="H10" s="24" t="s">
        <v>474</v>
      </c>
    </row>
    <row r="11" spans="1:11" ht="15" customHeight="1" x14ac:dyDescent="0.25">
      <c r="A11" s="13" t="s">
        <v>485</v>
      </c>
      <c r="B11" s="13" t="s">
        <v>43</v>
      </c>
      <c r="C11" s="24">
        <v>3</v>
      </c>
      <c r="D11" s="24">
        <v>3</v>
      </c>
      <c r="E11" s="24">
        <v>5</v>
      </c>
      <c r="F11" s="24">
        <v>4</v>
      </c>
      <c r="G11" s="24">
        <v>15</v>
      </c>
      <c r="H11" s="24" t="s">
        <v>477</v>
      </c>
    </row>
    <row r="12" spans="1:11" ht="15" customHeight="1" x14ac:dyDescent="0.25">
      <c r="A12" s="13" t="s">
        <v>152</v>
      </c>
      <c r="B12" s="13" t="s">
        <v>43</v>
      </c>
      <c r="C12" s="24">
        <v>4</v>
      </c>
      <c r="D12" s="24">
        <v>4</v>
      </c>
      <c r="E12" s="24">
        <v>4</v>
      </c>
      <c r="F12" s="24">
        <v>4</v>
      </c>
      <c r="G12" s="24">
        <v>16</v>
      </c>
      <c r="H12" s="24" t="s">
        <v>477</v>
      </c>
    </row>
    <row r="13" spans="1:11" ht="15" customHeight="1" x14ac:dyDescent="0.25">
      <c r="A13" s="13" t="s">
        <v>50</v>
      </c>
      <c r="B13" s="13" t="s">
        <v>43</v>
      </c>
      <c r="C13" s="24">
        <v>5</v>
      </c>
      <c r="D13" s="24">
        <v>4</v>
      </c>
      <c r="E13" s="24">
        <v>4</v>
      </c>
      <c r="F13" s="24">
        <v>4</v>
      </c>
      <c r="G13" s="24">
        <v>17</v>
      </c>
      <c r="H13" s="24" t="s">
        <v>477</v>
      </c>
    </row>
    <row r="14" spans="1:11" ht="15" customHeight="1" x14ac:dyDescent="0.25">
      <c r="A14" s="13" t="s">
        <v>378</v>
      </c>
      <c r="B14" s="13" t="s">
        <v>43</v>
      </c>
      <c r="C14" s="24">
        <v>5</v>
      </c>
      <c r="D14" s="24">
        <v>3</v>
      </c>
      <c r="E14" s="24">
        <v>4</v>
      </c>
      <c r="F14" s="24">
        <v>5</v>
      </c>
      <c r="G14" s="24">
        <v>17</v>
      </c>
      <c r="H14" s="24" t="s">
        <v>477</v>
      </c>
    </row>
    <row r="15" spans="1:11" ht="15" customHeight="1" x14ac:dyDescent="0.25">
      <c r="A15" s="13" t="s">
        <v>167</v>
      </c>
      <c r="B15" s="13" t="s">
        <v>67</v>
      </c>
      <c r="C15" s="24">
        <v>4</v>
      </c>
      <c r="D15" s="24">
        <v>5</v>
      </c>
      <c r="E15" s="24">
        <v>5</v>
      </c>
      <c r="F15" s="24">
        <v>4</v>
      </c>
      <c r="G15" s="24">
        <v>18</v>
      </c>
      <c r="H15" s="24" t="s">
        <v>474</v>
      </c>
    </row>
    <row r="16" spans="1:11" ht="15" customHeight="1" x14ac:dyDescent="0.25">
      <c r="A16" s="13" t="s">
        <v>486</v>
      </c>
      <c r="B16" s="13" t="s">
        <v>43</v>
      </c>
      <c r="C16" s="24">
        <v>3</v>
      </c>
      <c r="D16" s="24">
        <v>2</v>
      </c>
      <c r="E16" s="24">
        <v>1</v>
      </c>
      <c r="F16" s="24">
        <v>3</v>
      </c>
      <c r="G16" s="24">
        <v>9</v>
      </c>
      <c r="H16" s="24" t="s">
        <v>476</v>
      </c>
    </row>
    <row r="17" spans="1:8" ht="15" customHeight="1" x14ac:dyDescent="0.25">
      <c r="A17" s="13" t="s">
        <v>209</v>
      </c>
      <c r="B17" s="13" t="s">
        <v>43</v>
      </c>
      <c r="C17" s="24">
        <v>5</v>
      </c>
      <c r="D17" s="24">
        <v>3</v>
      </c>
      <c r="E17" s="24">
        <v>1</v>
      </c>
      <c r="F17" s="24">
        <v>4</v>
      </c>
      <c r="G17" s="24">
        <v>13</v>
      </c>
      <c r="H17" s="24" t="s">
        <v>476</v>
      </c>
    </row>
    <row r="18" spans="1:8" ht="15" customHeight="1" x14ac:dyDescent="0.25">
      <c r="A18" s="13" t="s">
        <v>487</v>
      </c>
      <c r="B18" s="13" t="s">
        <v>488</v>
      </c>
      <c r="C18" s="24">
        <v>5</v>
      </c>
      <c r="D18" s="24">
        <v>4</v>
      </c>
      <c r="E18" s="24">
        <v>5</v>
      </c>
      <c r="F18" s="24">
        <v>5</v>
      </c>
      <c r="G18" s="24">
        <v>19</v>
      </c>
      <c r="H18" s="24" t="s">
        <v>474</v>
      </c>
    </row>
    <row r="19" spans="1:8" ht="15" customHeight="1" x14ac:dyDescent="0.25">
      <c r="A19" s="13" t="s">
        <v>96</v>
      </c>
      <c r="B19" s="13" t="s">
        <v>31</v>
      </c>
      <c r="C19" s="24">
        <v>5</v>
      </c>
      <c r="D19" s="24">
        <v>3</v>
      </c>
      <c r="E19" s="24">
        <v>2</v>
      </c>
      <c r="F19" s="24">
        <v>4</v>
      </c>
      <c r="G19" s="24">
        <v>14</v>
      </c>
      <c r="H19" s="24" t="s">
        <v>477</v>
      </c>
    </row>
    <row r="20" spans="1:8" ht="15" customHeight="1" x14ac:dyDescent="0.25">
      <c r="A20" s="13" t="s">
        <v>231</v>
      </c>
      <c r="B20" s="13" t="s">
        <v>43</v>
      </c>
      <c r="C20" s="24">
        <v>5</v>
      </c>
      <c r="D20" s="24">
        <v>4</v>
      </c>
      <c r="E20" s="24">
        <v>5</v>
      </c>
      <c r="F20" s="24">
        <v>5</v>
      </c>
      <c r="G20" s="24">
        <v>19</v>
      </c>
      <c r="H20" s="24" t="s">
        <v>474</v>
      </c>
    </row>
    <row r="21" spans="1:8" ht="15" customHeight="1" x14ac:dyDescent="0.25">
      <c r="A21" s="13" t="s">
        <v>255</v>
      </c>
      <c r="B21" s="13" t="s">
        <v>43</v>
      </c>
      <c r="C21" s="24">
        <v>3</v>
      </c>
      <c r="D21" s="24">
        <v>2</v>
      </c>
      <c r="E21" s="24">
        <v>5</v>
      </c>
      <c r="F21" s="24">
        <v>3</v>
      </c>
      <c r="G21" s="24">
        <v>13</v>
      </c>
      <c r="H21" s="24" t="s">
        <v>476</v>
      </c>
    </row>
    <row r="22" spans="1:8" ht="15" customHeight="1" x14ac:dyDescent="0.25">
      <c r="A22" s="13" t="s">
        <v>257</v>
      </c>
      <c r="B22" s="13" t="s">
        <v>43</v>
      </c>
      <c r="C22" s="24">
        <v>5</v>
      </c>
      <c r="D22" s="24">
        <v>5</v>
      </c>
      <c r="E22" s="24">
        <v>1</v>
      </c>
      <c r="F22" s="24">
        <v>4</v>
      </c>
      <c r="G22" s="24">
        <v>15</v>
      </c>
      <c r="H22" s="24" t="s">
        <v>477</v>
      </c>
    </row>
    <row r="23" spans="1:8" ht="15" customHeight="1" x14ac:dyDescent="0.25">
      <c r="A23" s="13" t="s">
        <v>395</v>
      </c>
      <c r="B23" s="13" t="s">
        <v>43</v>
      </c>
      <c r="C23" s="24">
        <v>3</v>
      </c>
      <c r="D23" s="24">
        <v>3</v>
      </c>
      <c r="E23" s="24">
        <v>3</v>
      </c>
      <c r="F23" s="24">
        <v>3</v>
      </c>
      <c r="G23" s="24">
        <v>12</v>
      </c>
      <c r="H23" s="24" t="s">
        <v>476</v>
      </c>
    </row>
    <row r="24" spans="1:8" ht="15" customHeight="1" x14ac:dyDescent="0.25">
      <c r="A24" s="13" t="s">
        <v>487</v>
      </c>
      <c r="B24" s="13" t="s">
        <v>488</v>
      </c>
      <c r="C24" s="24">
        <v>5</v>
      </c>
      <c r="D24" s="24">
        <v>4</v>
      </c>
      <c r="E24" s="24">
        <v>5</v>
      </c>
      <c r="F24" s="24">
        <v>5</v>
      </c>
      <c r="G24" s="24">
        <v>19</v>
      </c>
      <c r="H24" s="24" t="s">
        <v>474</v>
      </c>
    </row>
    <row r="25" spans="1:8" ht="15" customHeight="1" x14ac:dyDescent="0.25">
      <c r="A25" s="13" t="s">
        <v>352</v>
      </c>
      <c r="B25" s="13" t="s">
        <v>484</v>
      </c>
      <c r="C25" s="24">
        <v>5</v>
      </c>
      <c r="D25" s="24">
        <v>4</v>
      </c>
      <c r="E25" s="24">
        <v>5</v>
      </c>
      <c r="F25" s="24">
        <v>5</v>
      </c>
      <c r="G25" s="24">
        <v>19</v>
      </c>
      <c r="H25" s="24" t="s">
        <v>474</v>
      </c>
    </row>
    <row r="26" spans="1:8" ht="15" customHeight="1" x14ac:dyDescent="0.25">
      <c r="A26" s="13" t="s">
        <v>489</v>
      </c>
      <c r="B26" s="13" t="s">
        <v>490</v>
      </c>
      <c r="C26" s="24">
        <v>5</v>
      </c>
      <c r="D26" s="24">
        <v>4</v>
      </c>
      <c r="E26" s="24">
        <v>5</v>
      </c>
      <c r="F26" s="24">
        <v>5</v>
      </c>
      <c r="G26" s="24">
        <v>19</v>
      </c>
      <c r="H26" s="24" t="s">
        <v>474</v>
      </c>
    </row>
    <row r="27" spans="1:8" ht="15" customHeight="1" x14ac:dyDescent="0.25">
      <c r="A27" s="13" t="s">
        <v>491</v>
      </c>
      <c r="B27" s="13" t="s">
        <v>385</v>
      </c>
      <c r="C27" s="24">
        <v>4</v>
      </c>
      <c r="D27" s="24">
        <v>3</v>
      </c>
      <c r="E27" s="24">
        <v>4</v>
      </c>
      <c r="F27" s="24">
        <v>3</v>
      </c>
      <c r="G27" s="24">
        <v>14</v>
      </c>
      <c r="H27" s="24" t="s">
        <v>477</v>
      </c>
    </row>
    <row r="28" spans="1:8" ht="15" customHeight="1" x14ac:dyDescent="0.25">
      <c r="A28" s="13" t="s">
        <v>492</v>
      </c>
      <c r="B28" s="13" t="s">
        <v>67</v>
      </c>
      <c r="C28" s="24">
        <v>2</v>
      </c>
      <c r="D28" s="24">
        <v>3</v>
      </c>
      <c r="E28" s="24">
        <v>5</v>
      </c>
      <c r="F28" s="24">
        <v>4</v>
      </c>
      <c r="G28" s="24">
        <v>14</v>
      </c>
      <c r="H28" s="24" t="s">
        <v>477</v>
      </c>
    </row>
  </sheetData>
  <mergeCells count="2">
    <mergeCell ref="A1:H1"/>
    <mergeCell ref="C2:F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zoomScale="68" zoomScaleNormal="90" workbookViewId="0">
      <selection activeCell="B27" sqref="B27"/>
    </sheetView>
  </sheetViews>
  <sheetFormatPr baseColWidth="10" defaultColWidth="9.140625" defaultRowHeight="15" x14ac:dyDescent="0.25"/>
  <cols>
    <col min="1" max="1" width="17.7109375"/>
    <col min="2" max="2" width="33"/>
    <col min="3" max="4" width="10.7109375"/>
    <col min="5" max="5" width="17.140625"/>
    <col min="6" max="7" width="10.7109375"/>
    <col min="8" max="8" width="20.7109375"/>
    <col min="9" max="1025" width="10.7109375"/>
  </cols>
  <sheetData>
    <row r="1" spans="1:8" ht="30" customHeight="1" x14ac:dyDescent="0.25">
      <c r="A1" s="26" t="s">
        <v>493</v>
      </c>
      <c r="B1" s="26" t="s">
        <v>494</v>
      </c>
      <c r="C1" s="26" t="s">
        <v>495</v>
      </c>
      <c r="D1" s="26" t="s">
        <v>496</v>
      </c>
      <c r="E1" s="26" t="s">
        <v>497</v>
      </c>
      <c r="F1" s="26" t="s">
        <v>498</v>
      </c>
      <c r="G1" s="26" t="s">
        <v>499</v>
      </c>
      <c r="H1" s="26" t="s">
        <v>500</v>
      </c>
    </row>
    <row r="2" spans="1:8" ht="15" customHeight="1" x14ac:dyDescent="0.25">
      <c r="A2" s="97" t="s">
        <v>501</v>
      </c>
      <c r="B2" s="13" t="s">
        <v>85</v>
      </c>
      <c r="C2" s="26" t="s">
        <v>432</v>
      </c>
      <c r="D2" s="26" t="s">
        <v>432</v>
      </c>
      <c r="E2" s="26" t="s">
        <v>432</v>
      </c>
      <c r="F2" s="26" t="s">
        <v>432</v>
      </c>
      <c r="G2" s="26" t="s">
        <v>432</v>
      </c>
      <c r="H2" s="27" t="s">
        <v>502</v>
      </c>
    </row>
    <row r="3" spans="1:8" ht="15" customHeight="1" x14ac:dyDescent="0.25">
      <c r="A3" s="97"/>
      <c r="B3" s="13" t="s">
        <v>485</v>
      </c>
      <c r="C3" s="26" t="s">
        <v>432</v>
      </c>
      <c r="D3" s="26" t="s">
        <v>432</v>
      </c>
      <c r="E3" s="26" t="s">
        <v>432</v>
      </c>
      <c r="F3" s="26" t="s">
        <v>432</v>
      </c>
      <c r="G3" s="26" t="s">
        <v>432</v>
      </c>
      <c r="H3" s="28" t="s">
        <v>502</v>
      </c>
    </row>
    <row r="4" spans="1:8" ht="15" customHeight="1" x14ac:dyDescent="0.25">
      <c r="A4" s="97"/>
      <c r="B4" s="13" t="s">
        <v>152</v>
      </c>
      <c r="C4" s="26" t="s">
        <v>432</v>
      </c>
      <c r="D4" s="26" t="s">
        <v>432</v>
      </c>
      <c r="E4" s="26" t="s">
        <v>432</v>
      </c>
      <c r="F4" s="26" t="s">
        <v>432</v>
      </c>
      <c r="G4" s="26" t="s">
        <v>432</v>
      </c>
      <c r="H4" s="28" t="s">
        <v>502</v>
      </c>
    </row>
    <row r="5" spans="1:8" ht="15" customHeight="1" x14ac:dyDescent="0.25">
      <c r="A5" s="97"/>
      <c r="B5" s="13" t="s">
        <v>50</v>
      </c>
      <c r="C5" s="26" t="s">
        <v>432</v>
      </c>
      <c r="D5" s="26" t="s">
        <v>432</v>
      </c>
      <c r="E5" s="26" t="s">
        <v>432</v>
      </c>
      <c r="F5" s="26" t="s">
        <v>432</v>
      </c>
      <c r="G5" s="26" t="s">
        <v>432</v>
      </c>
      <c r="H5" s="28" t="s">
        <v>502</v>
      </c>
    </row>
    <row r="6" spans="1:8" ht="15" customHeight="1" x14ac:dyDescent="0.25">
      <c r="A6" s="97"/>
      <c r="B6" s="13" t="s">
        <v>378</v>
      </c>
      <c r="C6" s="26" t="s">
        <v>432</v>
      </c>
      <c r="D6" s="26" t="s">
        <v>432</v>
      </c>
      <c r="E6" s="26" t="s">
        <v>432</v>
      </c>
      <c r="F6" s="26" t="s">
        <v>432</v>
      </c>
      <c r="G6" s="26" t="s">
        <v>432</v>
      </c>
      <c r="H6" s="28" t="s">
        <v>502</v>
      </c>
    </row>
    <row r="7" spans="1:8" ht="15" customHeight="1" x14ac:dyDescent="0.25">
      <c r="A7" s="97"/>
      <c r="B7" s="13" t="s">
        <v>486</v>
      </c>
      <c r="C7" s="26" t="s">
        <v>432</v>
      </c>
      <c r="D7" s="26" t="s">
        <v>432</v>
      </c>
      <c r="E7" s="26" t="s">
        <v>432</v>
      </c>
      <c r="F7" s="26" t="s">
        <v>432</v>
      </c>
      <c r="G7" s="26" t="s">
        <v>432</v>
      </c>
      <c r="H7" s="28" t="s">
        <v>502</v>
      </c>
    </row>
    <row r="8" spans="1:8" ht="15" customHeight="1" x14ac:dyDescent="0.25">
      <c r="A8" s="97"/>
      <c r="B8" s="13" t="s">
        <v>209</v>
      </c>
      <c r="C8" s="26" t="s">
        <v>432</v>
      </c>
      <c r="D8" s="26" t="s">
        <v>432</v>
      </c>
      <c r="E8" s="26" t="s">
        <v>432</v>
      </c>
      <c r="F8" s="26" t="s">
        <v>432</v>
      </c>
      <c r="G8" s="26" t="s">
        <v>432</v>
      </c>
      <c r="H8" s="28" t="s">
        <v>502</v>
      </c>
    </row>
    <row r="9" spans="1:8" ht="15" customHeight="1" x14ac:dyDescent="0.25">
      <c r="A9" s="97"/>
      <c r="B9" s="13" t="s">
        <v>231</v>
      </c>
      <c r="C9" s="26" t="s">
        <v>432</v>
      </c>
      <c r="D9" s="26" t="s">
        <v>432</v>
      </c>
      <c r="E9" s="26" t="s">
        <v>432</v>
      </c>
      <c r="F9" s="26" t="s">
        <v>432</v>
      </c>
      <c r="G9" s="26" t="s">
        <v>432</v>
      </c>
      <c r="H9" s="28" t="s">
        <v>502</v>
      </c>
    </row>
    <row r="10" spans="1:8" ht="15" customHeight="1" x14ac:dyDescent="0.25">
      <c r="A10" s="97"/>
      <c r="B10" s="13" t="s">
        <v>255</v>
      </c>
      <c r="C10" s="26" t="s">
        <v>432</v>
      </c>
      <c r="D10" s="26" t="s">
        <v>432</v>
      </c>
      <c r="E10" s="26" t="s">
        <v>432</v>
      </c>
      <c r="F10" s="26" t="s">
        <v>432</v>
      </c>
      <c r="G10" s="26" t="s">
        <v>432</v>
      </c>
      <c r="H10" s="28" t="s">
        <v>502</v>
      </c>
    </row>
    <row r="11" spans="1:8" ht="15" customHeight="1" x14ac:dyDescent="0.25">
      <c r="A11" s="97"/>
      <c r="B11" s="13" t="s">
        <v>257</v>
      </c>
      <c r="C11" s="26" t="s">
        <v>432</v>
      </c>
      <c r="D11" s="26" t="s">
        <v>432</v>
      </c>
      <c r="E11" s="26" t="s">
        <v>432</v>
      </c>
      <c r="F11" s="26" t="s">
        <v>432</v>
      </c>
      <c r="G11" s="26" t="s">
        <v>432</v>
      </c>
      <c r="H11" s="28" t="s">
        <v>502</v>
      </c>
    </row>
    <row r="12" spans="1:8" ht="15.75" customHeight="1" x14ac:dyDescent="0.25">
      <c r="A12" s="97"/>
      <c r="B12" s="29" t="s">
        <v>395</v>
      </c>
      <c r="C12" s="30" t="s">
        <v>432</v>
      </c>
      <c r="D12" s="30" t="s">
        <v>432</v>
      </c>
      <c r="E12" s="31" t="s">
        <v>432</v>
      </c>
      <c r="F12" s="31" t="s">
        <v>432</v>
      </c>
      <c r="G12" s="31" t="s">
        <v>432</v>
      </c>
      <c r="H12" s="32" t="s">
        <v>502</v>
      </c>
    </row>
    <row r="13" spans="1:8" ht="15.75" customHeight="1" x14ac:dyDescent="0.25">
      <c r="A13" s="98" t="s">
        <v>503</v>
      </c>
      <c r="B13" s="33" t="s">
        <v>318</v>
      </c>
      <c r="C13" s="34" t="s">
        <v>432</v>
      </c>
      <c r="D13" s="34"/>
      <c r="E13" s="35" t="s">
        <v>432</v>
      </c>
      <c r="F13" s="35"/>
      <c r="G13" s="35" t="s">
        <v>432</v>
      </c>
      <c r="H13" s="36" t="s">
        <v>502</v>
      </c>
    </row>
    <row r="14" spans="1:8" ht="15" customHeight="1" x14ac:dyDescent="0.25">
      <c r="A14" s="98"/>
      <c r="B14" s="13" t="s">
        <v>242</v>
      </c>
      <c r="C14" s="26" t="s">
        <v>432</v>
      </c>
      <c r="D14" s="26"/>
      <c r="E14" s="26" t="s">
        <v>432</v>
      </c>
      <c r="F14" s="26"/>
      <c r="G14" s="26" t="s">
        <v>432</v>
      </c>
      <c r="H14" s="28" t="s">
        <v>502</v>
      </c>
    </row>
    <row r="15" spans="1:8" ht="15.75" customHeight="1" x14ac:dyDescent="0.25">
      <c r="A15" s="98"/>
      <c r="B15" s="29" t="s">
        <v>119</v>
      </c>
      <c r="C15" s="31" t="s">
        <v>432</v>
      </c>
      <c r="D15" s="31"/>
      <c r="E15" s="31" t="s">
        <v>432</v>
      </c>
      <c r="F15" s="31"/>
      <c r="G15" s="31" t="s">
        <v>432</v>
      </c>
      <c r="H15" s="32" t="s">
        <v>502</v>
      </c>
    </row>
    <row r="16" spans="1:8" ht="15.75" customHeight="1" x14ac:dyDescent="0.25">
      <c r="A16" s="98" t="s">
        <v>67</v>
      </c>
      <c r="B16" s="33" t="s">
        <v>482</v>
      </c>
      <c r="C16" s="35"/>
      <c r="D16" s="35" t="s">
        <v>432</v>
      </c>
      <c r="E16" s="35"/>
      <c r="F16" s="35" t="s">
        <v>432</v>
      </c>
      <c r="G16" s="35"/>
      <c r="H16" s="36" t="s">
        <v>502</v>
      </c>
    </row>
    <row r="17" spans="1:8" ht="15.75" customHeight="1" x14ac:dyDescent="0.25">
      <c r="A17" s="98"/>
      <c r="B17" s="37" t="s">
        <v>492</v>
      </c>
      <c r="C17" s="38"/>
      <c r="D17" s="31" t="s">
        <v>432</v>
      </c>
      <c r="E17" s="38"/>
      <c r="F17" s="30" t="s">
        <v>432</v>
      </c>
      <c r="G17" s="39"/>
      <c r="H17" s="40" t="s">
        <v>502</v>
      </c>
    </row>
    <row r="18" spans="1:8" ht="15.75" customHeight="1" x14ac:dyDescent="0.25">
      <c r="A18" s="99" t="s">
        <v>484</v>
      </c>
      <c r="B18" s="41" t="s">
        <v>483</v>
      </c>
      <c r="C18" s="35" t="s">
        <v>432</v>
      </c>
      <c r="D18" s="42"/>
      <c r="E18" s="35" t="s">
        <v>432</v>
      </c>
      <c r="F18" s="43"/>
      <c r="G18" s="34" t="s">
        <v>432</v>
      </c>
      <c r="H18" s="44" t="s">
        <v>502</v>
      </c>
    </row>
    <row r="19" spans="1:8" ht="15.75" customHeight="1" x14ac:dyDescent="0.25">
      <c r="A19" s="99"/>
      <c r="B19" s="37" t="s">
        <v>352</v>
      </c>
      <c r="C19" s="31" t="s">
        <v>432</v>
      </c>
      <c r="D19" s="38"/>
      <c r="E19" s="31" t="s">
        <v>432</v>
      </c>
      <c r="F19" s="38"/>
      <c r="G19" s="31" t="s">
        <v>432</v>
      </c>
      <c r="H19" s="45" t="s">
        <v>502</v>
      </c>
    </row>
    <row r="20" spans="1:8" ht="15.75" customHeight="1" x14ac:dyDescent="0.25">
      <c r="A20" s="100" t="s">
        <v>488</v>
      </c>
      <c r="B20" s="41" t="s">
        <v>504</v>
      </c>
      <c r="C20" s="35" t="s">
        <v>432</v>
      </c>
      <c r="D20" s="35" t="s">
        <v>432</v>
      </c>
      <c r="E20" s="35" t="s">
        <v>432</v>
      </c>
      <c r="F20" s="35" t="s">
        <v>432</v>
      </c>
      <c r="G20" s="35" t="s">
        <v>432</v>
      </c>
      <c r="H20" s="46" t="s">
        <v>502</v>
      </c>
    </row>
    <row r="21" spans="1:8" ht="15.75" customHeight="1" x14ac:dyDescent="0.25">
      <c r="A21" s="100"/>
      <c r="B21" s="37" t="s">
        <v>505</v>
      </c>
      <c r="C21" s="31" t="s">
        <v>432</v>
      </c>
      <c r="D21" s="31" t="s">
        <v>432</v>
      </c>
      <c r="E21" s="31" t="s">
        <v>432</v>
      </c>
      <c r="F21" s="31" t="s">
        <v>432</v>
      </c>
      <c r="G21" s="31" t="s">
        <v>432</v>
      </c>
      <c r="H21" s="45" t="s">
        <v>502</v>
      </c>
    </row>
    <row r="22" spans="1:8" ht="31.5" customHeight="1" x14ac:dyDescent="0.25">
      <c r="A22" s="47" t="s">
        <v>31</v>
      </c>
      <c r="B22" s="48" t="s">
        <v>96</v>
      </c>
      <c r="C22" s="49" t="s">
        <v>432</v>
      </c>
      <c r="D22" s="50"/>
      <c r="E22" s="50"/>
      <c r="F22" s="50"/>
      <c r="G22" s="50"/>
      <c r="H22" s="51" t="s">
        <v>502</v>
      </c>
    </row>
    <row r="23" spans="1:8" ht="16.5" customHeight="1" x14ac:dyDescent="0.25">
      <c r="A23" s="48" t="s">
        <v>490</v>
      </c>
      <c r="B23" s="48" t="s">
        <v>506</v>
      </c>
      <c r="C23" s="49" t="s">
        <v>432</v>
      </c>
      <c r="D23" s="49" t="s">
        <v>432</v>
      </c>
      <c r="E23" s="49" t="s">
        <v>432</v>
      </c>
      <c r="F23" s="49" t="s">
        <v>432</v>
      </c>
      <c r="G23" s="49" t="s">
        <v>432</v>
      </c>
      <c r="H23" s="51" t="s">
        <v>502</v>
      </c>
    </row>
    <row r="24" spans="1:8" ht="16.5" customHeight="1" x14ac:dyDescent="0.25">
      <c r="A24" s="48" t="s">
        <v>385</v>
      </c>
      <c r="B24" s="48" t="s">
        <v>491</v>
      </c>
      <c r="C24" s="50"/>
      <c r="D24" s="50"/>
      <c r="E24" s="49" t="s">
        <v>432</v>
      </c>
      <c r="F24" s="50"/>
      <c r="G24" s="50"/>
      <c r="H24" s="51" t="s">
        <v>502</v>
      </c>
    </row>
    <row r="25" spans="1:8" ht="16.5" customHeight="1" x14ac:dyDescent="0.25">
      <c r="A25" s="48" t="s">
        <v>481</v>
      </c>
      <c r="B25" s="48" t="s">
        <v>480</v>
      </c>
      <c r="C25" s="50"/>
      <c r="D25" s="50"/>
      <c r="E25" s="50"/>
      <c r="F25" s="52"/>
      <c r="G25" s="53" t="s">
        <v>432</v>
      </c>
      <c r="H25" s="54"/>
    </row>
  </sheetData>
  <mergeCells count="5">
    <mergeCell ref="A2:A12"/>
    <mergeCell ref="A13:A15"/>
    <mergeCell ref="A16:A17"/>
    <mergeCell ref="A18:A19"/>
    <mergeCell ref="A20:A2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AA52821070B2459208D5B6A02ECE52" ma:contentTypeVersion="11" ma:contentTypeDescription="Create a new document." ma:contentTypeScope="" ma:versionID="c1c82f38066eccaa98b8e38dea7a5053">
  <xsd:schema xmlns:xsd="http://www.w3.org/2001/XMLSchema" xmlns:xs="http://www.w3.org/2001/XMLSchema" xmlns:p="http://schemas.microsoft.com/office/2006/metadata/properties" xmlns:ns2="832d4952-a9db-40d2-af4e-197f112077aa" xmlns:ns3="39eb81a5-3da6-4984-b4ab-28abf17fc1d0" targetNamespace="http://schemas.microsoft.com/office/2006/metadata/properties" ma:root="true" ma:fieldsID="40f2c2423e32b0337adfa964b8842407" ns2:_="" ns3:_="">
    <xsd:import namespace="832d4952-a9db-40d2-af4e-197f112077aa"/>
    <xsd:import namespace="39eb81a5-3da6-4984-b4ab-28abf17fc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952-a9db-40d2-af4e-197f11207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d9a1152-2210-4418-839f-a2d511c65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b81a5-3da6-4984-b4ab-28abf17fc1d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6f7c343-6dbb-4f05-997e-8ef7de98a793}" ma:internalName="TaxCatchAll" ma:showField="CatchAllData" ma:web="39eb81a5-3da6-4984-b4ab-28abf17fc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b81a5-3da6-4984-b4ab-28abf17fc1d0" xsi:nil="true"/>
    <lcf76f155ced4ddcb4097134ff3c332f xmlns="832d4952-a9db-40d2-af4e-197f112077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D53C7F-B5AC-4F33-999B-DEF83F48FF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99A3F0-5E0C-434D-94E8-58A618666E38}"/>
</file>

<file path=customXml/itemProps3.xml><?xml version="1.0" encoding="utf-8"?>
<ds:datastoreItem xmlns:ds="http://schemas.openxmlformats.org/officeDocument/2006/customXml" ds:itemID="{302D74EA-9790-4782-8976-6354AD82284F}">
  <ds:schemaRefs>
    <ds:schemaRef ds:uri="http://schemas.microsoft.com/office/infopath/2007/PartnerControls"/>
    <ds:schemaRef ds:uri="http://purl.org/dc/elements/1.1/"/>
    <ds:schemaRef ds:uri="832d4952-a9db-40d2-af4e-197f112077aa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Listado Equipos</vt:lpstr>
      <vt:lpstr>Ficha Tecnica</vt:lpstr>
      <vt:lpstr>MPP</vt:lpstr>
      <vt:lpstr>Predicitivo</vt:lpstr>
      <vt:lpstr>'Listado Equipos'!_FilterDatabase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VALENTINA  ROLDAN SILVA</cp:lastModifiedBy>
  <cp:revision>0</cp:revision>
  <dcterms:created xsi:type="dcterms:W3CDTF">2013-04-16T02:41:34Z</dcterms:created>
  <dcterms:modified xsi:type="dcterms:W3CDTF">2025-10-15T04:02:32Z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0x010100F2AA52821070B2459208D5B6A02ECE52</vt:lpwstr>
  </property>
</Properties>
</file>