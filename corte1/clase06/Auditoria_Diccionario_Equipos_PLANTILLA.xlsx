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auditoria" sheetId="2" state="visible" r:id="rId4"/>
    <sheet name="diccionario" sheetId="3" state="visible" r:id="rId5"/>
    <sheet name="decisiones_pendientes" sheetId="4" state="visible" r:id="rId6"/>
    <sheet name="pruebas" sheetId="5" state="visible" r:id="rId7"/>
  </sheets>
  <definedNames>
    <definedName function="false" hidden="true" localSheetId="1" name="_xlnm._FilterDatabase" vbProcedure="false">auditoria!$A$1:$G$32</definedName>
    <definedName function="false" hidden="true" localSheetId="2" name="_xlnm._FilterDatabase" vbProcedure="false">diccionario!$A$1:$J$44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<sst xmlns="http://schemas.openxmlformats.org/spreadsheetml/2006/main" count="130" uniqueCount="126">
  <si>
    <t xml:space="preserve">AUDITORIA Y DICCIONARIO DE DATOS - Inventario de Equipos Biomedicos</t>
  </si>
  <si>
    <t xml:space="preserve">Informatica Medica IFMER 2026-II | Clase 06 | Fuente: BD.xlsx, hoja 'Listado Equipos' (67 filas x 31 columnas)</t>
  </si>
  <si>
    <t xml:space="preserve">COMO USAR ESTA PLANTILLA</t>
  </si>
  <si>
    <t xml:space="preserve">1. Hoja 'auditoria': las 31 columnas de BD.xlsx ya vienen con su % de llenado y su numero de valores distintos.</t>
  </si>
  <si>
    <t xml:space="preserve">   Complete la columna 'Problema detectado' y elija una 'Decision' en la lista desplegable.</t>
  </si>
  <si>
    <t xml:space="preserve">2. Hoja 'diccionario': una fila por CAMPO de la tabla inventario que resulte de sus decisiones.</t>
  </si>
  <si>
    <t xml:space="preserve">3. Hoja 'decisiones_pendientes': documente la deuda tecnica (lo que dejo para despues y por que).</t>
  </si>
  <si>
    <t xml:space="preserve">4. Hoja 'pruebas': registre los 10 casos de prueba del Paso 12 con su resultado.</t>
  </si>
  <si>
    <t xml:space="preserve">LAS CUATRO DECISIONES POSIBLES</t>
  </si>
  <si>
    <t xml:space="preserve">DESCARTAR   - La columna esta vacia o tiene un solo valor repetido: no aporta informacion.</t>
  </si>
  <si>
    <t xml:space="preserve">CONSERVAR   - El dato es atomico y de texto libre: se tipifica como VARCHAR con longitud justificada.</t>
  </si>
  <si>
    <t xml:space="preserve">DIVIDIR     - El dato mezcla valor y unidad, o es un rango: se parte en dos o mas campos.</t>
  </si>
  <si>
    <t xml:space="preserve">NORMALIZAR  - El dato pertenece a una lista cerrada: se crea tabla de dominio + FOREIGN KEY.</t>
  </si>
  <si>
    <t xml:space="preserve">LA PREGUNTA QUE DECIDE TODO</t>
  </si>
  <si>
    <t xml:space="preserve">Para cada columna preguntese: 'que consulta quiero poder hacer con este dato?'.</t>
  </si>
  <si>
    <t xml:space="preserve">Si no puede ordenar, filtrar ni agrupar por ese campo, es porque falta dividirlo o normalizarlo.</t>
  </si>
  <si>
    <t xml:space="preserve">N°</t>
  </si>
  <si>
    <t xml:space="preserve">Columna en BD.xlsx</t>
  </si>
  <si>
    <t xml:space="preserve">% Llenado</t>
  </si>
  <si>
    <t xml:space="preserve">Valores distintos</t>
  </si>
  <si>
    <t xml:space="preserve">Problema detectado</t>
  </si>
  <si>
    <t xml:space="preserve">Decisión</t>
  </si>
  <si>
    <t xml:space="preserve">Campo(s) BD resultante(s)</t>
  </si>
  <si>
    <t xml:space="preserve">Columnas decididas:</t>
  </si>
  <si>
    <t xml:space="preserve">ACTIVO</t>
  </si>
  <si>
    <t xml:space="preserve">Descartadas:</t>
  </si>
  <si>
    <t xml:space="preserve">PLACA NUEVA</t>
  </si>
  <si>
    <t xml:space="preserve">A normalizar:</t>
  </si>
  <si>
    <t xml:space="preserve">UBICACION (1a) - servicio</t>
  </si>
  <si>
    <t xml:space="preserve">Pendientes:</t>
  </si>
  <si>
    <t xml:space="preserve">UBICACION (2a) - area</t>
  </si>
  <si>
    <t xml:space="preserve">NOMBRE DEL EQUIPO</t>
  </si>
  <si>
    <t xml:space="preserve">MARCA</t>
  </si>
  <si>
    <t xml:space="preserve">MODELO</t>
  </si>
  <si>
    <t xml:space="preserve">SERIE</t>
  </si>
  <si>
    <t xml:space="preserve">FECHA DE FABRICACION</t>
  </si>
  <si>
    <t xml:space="preserve">FECHA DE INSTALACION</t>
  </si>
  <si>
    <t xml:space="preserve">FECHA DE COMPRA</t>
  </si>
  <si>
    <t xml:space="preserve">ACCESORIOS DEL EQUIPO</t>
  </si>
  <si>
    <t xml:space="preserve">VOLTAJE DE ALIMENTACION</t>
  </si>
  <si>
    <t xml:space="preserve">CORRIENTE DE ALIMENTACION</t>
  </si>
  <si>
    <t xml:space="preserve">PESO</t>
  </si>
  <si>
    <t xml:space="preserve">POTENCIA</t>
  </si>
  <si>
    <t xml:space="preserve">DIMENSIONES</t>
  </si>
  <si>
    <t xml:space="preserve">FUENTE DE ALIMENTACION</t>
  </si>
  <si>
    <t xml:space="preserve">FRECUENCIA DE ALIMENTACION</t>
  </si>
  <si>
    <t xml:space="preserve">CARACTERISTICAS BATERIA</t>
  </si>
  <si>
    <t xml:space="preserve">CONDICIONES DE TRABAJO</t>
  </si>
  <si>
    <t xml:space="preserve">TEMPERATURA</t>
  </si>
  <si>
    <t xml:space="preserve">HUMEDAD</t>
  </si>
  <si>
    <t xml:space="preserve">CLASIFICACION ELECTRICA</t>
  </si>
  <si>
    <t xml:space="preserve">MANEJO DE SOFTWARE</t>
  </si>
  <si>
    <t xml:space="preserve">CLASIFICACION BIOMEDICA</t>
  </si>
  <si>
    <t xml:space="preserve">CALIBRACION</t>
  </si>
  <si>
    <t xml:space="preserve">CLASIFICACION SEGUN RIESGO</t>
  </si>
  <si>
    <t xml:space="preserve">RESPONSABLE MANTENIMIENTO</t>
  </si>
  <si>
    <t xml:space="preserve">TECNOLOGIA PREDOMINANTE</t>
  </si>
  <si>
    <t xml:space="preserve">FRECUENCIA MPP</t>
  </si>
  <si>
    <t xml:space="preserve">Campo BD</t>
  </si>
  <si>
    <t xml:space="preserve">Tipo de Dato</t>
  </si>
  <si>
    <t xml:space="preserve">Longitud</t>
  </si>
  <si>
    <t xml:space="preserve">Nulo</t>
  </si>
  <si>
    <t xml:space="preserve">Origen en BD.xlsx</t>
  </si>
  <si>
    <t xml:space="preserve">Decisión aplicada</t>
  </si>
  <si>
    <t xml:space="preserve">Dominio / Valores</t>
  </si>
  <si>
    <t xml:space="preserve">Ejemplo</t>
  </si>
  <si>
    <t xml:space="preserve">Justificación</t>
  </si>
  <si>
    <t xml:space="preserve">Campos definidos:</t>
  </si>
  <si>
    <t xml:space="preserve">ActivoFijo</t>
  </si>
  <si>
    <t xml:space="preserve">VARCHAR</t>
  </si>
  <si>
    <t xml:space="preserve">NO</t>
  </si>
  <si>
    <t xml:space="preserve">CONSERVAR</t>
  </si>
  <si>
    <t xml:space="preserve">Alfanumerico</t>
  </si>
  <si>
    <t xml:space="preserve">E000774</t>
  </si>
  <si>
    <t xml:space="preserve">Mezcla numeros (3393) y codigos (E000774): con INT se perderia el registro</t>
  </si>
  <si>
    <t xml:space="preserve">Sin tipificar:</t>
  </si>
  <si>
    <t xml:space="preserve">Sin justificar:</t>
  </si>
  <si>
    <t xml:space="preserve">Situación detectada</t>
  </si>
  <si>
    <t xml:space="preserve">Cómo la resolví hoy</t>
  </si>
  <si>
    <t xml:space="preserve">Cómo debería resolverse</t>
  </si>
  <si>
    <t xml:space="preserve">Impacto si no se corrige</t>
  </si>
  <si>
    <t xml:space="preserve">ACCESORIOS trae varios valores en una celda</t>
  </si>
  <si>
    <t xml:space="preserve">Se guarda como TEXT</t>
  </si>
  <si>
    <t xml:space="preserve">Tabla equipo_accesorio (1:N) con un accesorio por fila</t>
  </si>
  <si>
    <t xml:space="preserve">No se puede consultar que equipos tienen palas</t>
  </si>
  <si>
    <t xml:space="preserve">FECHA DE INSTALACION y FECHA DE COMPRA vacias</t>
  </si>
  <si>
    <t xml:space="preserve">Columnas descartadas</t>
  </si>
  <si>
    <t xml:space="preserve">Documentarlas: el hospital puede llenarlas despues</t>
  </si>
  <si>
    <t xml:space="preserve">Se pierde la trazabilidad de la vida util</t>
  </si>
  <si>
    <t xml:space="preserve">Caso de prueba</t>
  </si>
  <si>
    <t xml:space="preserve">Entrada</t>
  </si>
  <si>
    <t xml:space="preserve">Resultado esperado</t>
  </si>
  <si>
    <t xml:space="preserve">Resultado obtenido</t>
  </si>
  <si>
    <t xml:space="preserve">¿Pasa?</t>
  </si>
  <si>
    <t xml:space="preserve">Evidencia</t>
  </si>
  <si>
    <t xml:space="preserve">Casos que pasan:</t>
  </si>
  <si>
    <t xml:space="preserve">Registro valido</t>
  </si>
  <si>
    <t xml:space="preserve">Todos los obligatorios</t>
  </si>
  <si>
    <t xml:space="preserve">EQUIPO REGISTRADO y aparece en la tabla</t>
  </si>
  <si>
    <t xml:space="preserve">Activo fijo duplicado</t>
  </si>
  <si>
    <t xml:space="preserve">ActivoFijo = 3393</t>
  </si>
  <si>
    <t xml:space="preserve">Error de UNIQUE</t>
  </si>
  <si>
    <t xml:space="preserve">Obligatorio vacio</t>
  </si>
  <si>
    <t xml:space="preserve">Sin NombreEquipo</t>
  </si>
  <si>
    <t xml:space="preserve">El navegador bloquea el envio (required)</t>
  </si>
  <si>
    <t xml:space="preserve">Servicio inexistente</t>
  </si>
  <si>
    <t xml:space="preserve">IdServicio = 99</t>
  </si>
  <si>
    <t xml:space="preserve">Error de FOREIGN KEY</t>
  </si>
  <si>
    <t xml:space="preserve">Anio invalido</t>
  </si>
  <si>
    <t xml:space="preserve">AnioFabricacion = 1800</t>
  </si>
  <si>
    <t xml:space="preserve">Mensaje de rango invalido</t>
  </si>
  <si>
    <t xml:space="preserve">Campo opcional vacio</t>
  </si>
  <si>
    <t xml:space="preserve">Sin Serie</t>
  </si>
  <si>
    <t xml:space="preserve">Se guarda NULL, no cadena vacia</t>
  </si>
  <si>
    <t xml:space="preserve">Edicion</t>
  </si>
  <si>
    <t xml:space="preserve">Cambiar la marca</t>
  </si>
  <si>
    <t xml:space="preserve">REGISTRO MODIFICADO, filas afectadas 1</t>
  </si>
  <si>
    <t xml:space="preserve">Baja logica</t>
  </si>
  <si>
    <t xml:space="preserve">Boton Dar de baja</t>
  </si>
  <si>
    <t xml:space="preserve">Sale del listado, queda EstadoEquipo = 0</t>
  </si>
  <si>
    <t xml:space="preserve">Busqueda</t>
  </si>
  <si>
    <t xml:space="preserve">Buscar AUTOCLAVE</t>
  </si>
  <si>
    <t xml:space="preserve">Solo los equipos que coinciden</t>
  </si>
  <si>
    <t xml:space="preserve">Inyeccion SQL</t>
  </si>
  <si>
    <t xml:space="preserve">' OR '1'='1</t>
  </si>
  <si>
    <t xml:space="preserve">Con consulta preparada: cero resultados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</si>
</sst>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941100"/>
      <name val="Arial"/>
      <family val="0"/>
      <charset val="1"/>
    </font>
    <font>
      <i val="true"/>
      <sz val="10"/>
      <color rgb="FF002855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0028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9411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DC2626"/>
      <name val="Arial"/>
      <family val="0"/>
      <charset val="1"/>
    </font>
    <font>
      <i val="true"/>
      <sz val="9"/>
      <color rgb="FF0F766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41100"/>
        <bgColor rgb="FF800000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9411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DC2626"/>
          <bgColor rgb="FF000000"/>
        </patternFill>
      </fill>
    </dxf>
    <dxf>
      <fill>
        <patternFill patternType="solid">
          <fgColor rgb="FFF0FDF4"/>
          <bgColor rgb="FF000000"/>
        </patternFill>
      </fill>
    </dxf>
    <dxf>
      <fill>
        <patternFill patternType="solid">
          <fgColor rgb="FF0F766E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9411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66699"/>
      <rgbColor rgb="FF969696"/>
      <rgbColor rgb="FF002855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2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3" t="s">
        <v>11</v>
      </c>
    </row>
    <row r="15" customFormat="false" ht="15" hidden="false" customHeight="false" outlineLevel="0" collapsed="false">
      <c r="B15" s="3" t="s">
        <v>12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3" t="s">
        <v>14</v>
      </c>
    </row>
    <row r="19" customFormat="false" ht="15" hidden="false" customHeight="false" outlineLevel="0" collapsed="false">
      <c r="B19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52"/>
    <col collapsed="false" customWidth="true" hidden="false" outlineLevel="0" max="6" min="6" style="0" width="16"/>
    <col collapsed="false" customWidth="true" hidden="false" outlineLevel="0" max="7" min="7" style="0" width="40"/>
    <col collapsed="false" customWidth="true" hidden="false" outlineLevel="0" max="9" min="9" style="0" width="22"/>
    <col collapsed="false" customWidth="true" hidden="false" outlineLevel="0" max="10" min="10" style="0" width="10"/>
  </cols>
  <sheetData>
    <row r="1" customFormat="false" ht="31.5" hidden="false" customHeight="tru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I1" s="4" t="s">
        <v>23</v>
      </c>
      <c r="J1" s="6" t="n">
        <f aca="false">COUNTA(F2:F32)</f>
        <v>0</v>
      </c>
    </row>
    <row r="2" customFormat="false" ht="15" hidden="false" customHeight="false" outlineLevel="0" collapsed="false">
      <c r="A2" s="7" t="n">
        <v>1</v>
      </c>
      <c r="B2" s="7" t="s">
        <v>24</v>
      </c>
      <c r="C2" s="8" t="n">
        <v>0.93</v>
      </c>
      <c r="D2" s="9" t="n">
        <v>60</v>
      </c>
      <c r="E2" s="7"/>
      <c r="F2" s="7"/>
      <c r="G2" s="7"/>
      <c r="I2" s="4" t="s">
        <v>25</v>
      </c>
      <c r="J2" s="6" t="n">
        <f aca="false">COUNTIF(F2:F32,"DESCARTAR")</f>
        <v>0</v>
      </c>
    </row>
    <row r="3" customFormat="false" ht="15" hidden="false" customHeight="false" outlineLevel="0" collapsed="false">
      <c r="A3" s="7" t="n">
        <v>2</v>
      </c>
      <c r="B3" s="7" t="s">
        <v>26</v>
      </c>
      <c r="C3" s="10" t="n">
        <v>0.25</v>
      </c>
      <c r="D3" s="9" t="n">
        <v>17</v>
      </c>
      <c r="E3" s="7"/>
      <c r="F3" s="7"/>
      <c r="G3" s="7"/>
      <c r="I3" s="4" t="s">
        <v>27</v>
      </c>
      <c r="J3" s="6" t="n">
        <f aca="false">COUNTIF(F2:F32,"NORMALIZAR")</f>
        <v>0</v>
      </c>
    </row>
    <row r="4" customFormat="false" ht="15" hidden="false" customHeight="false" outlineLevel="0" collapsed="false">
      <c r="A4" s="7" t="n">
        <v>3</v>
      </c>
      <c r="B4" s="7" t="s">
        <v>28</v>
      </c>
      <c r="C4" s="8" t="n">
        <v>1</v>
      </c>
      <c r="D4" s="9" t="n">
        <v>14</v>
      </c>
      <c r="E4" s="7"/>
      <c r="F4" s="7"/>
      <c r="G4" s="7"/>
      <c r="I4" s="4" t="s">
        <v>29</v>
      </c>
      <c r="J4" s="6" t="n">
        <f aca="false">31-COUNTA(F2:F32)</f>
        <v>31</v>
      </c>
    </row>
    <row r="5" customFormat="false" ht="15" hidden="false" customHeight="false" outlineLevel="0" collapsed="false">
      <c r="A5" s="7" t="n">
        <v>4</v>
      </c>
      <c r="B5" s="7" t="s">
        <v>30</v>
      </c>
      <c r="C5" s="8" t="n">
        <v>1</v>
      </c>
      <c r="D5" s="9" t="n">
        <v>23</v>
      </c>
      <c r="E5" s="7"/>
      <c r="F5" s="7"/>
      <c r="G5" s="7"/>
    </row>
    <row r="6" customFormat="false" ht="15" hidden="false" customHeight="false" outlineLevel="0" collapsed="false">
      <c r="A6" s="7" t="n">
        <v>5</v>
      </c>
      <c r="B6" s="7" t="s">
        <v>31</v>
      </c>
      <c r="C6" s="8" t="n">
        <v>1</v>
      </c>
      <c r="D6" s="9" t="n">
        <v>42</v>
      </c>
      <c r="E6" s="7"/>
      <c r="F6" s="7"/>
      <c r="G6" s="7"/>
    </row>
    <row r="7" customFormat="false" ht="15" hidden="false" customHeight="false" outlineLevel="0" collapsed="false">
      <c r="A7" s="7" t="n">
        <v>6</v>
      </c>
      <c r="B7" s="7" t="s">
        <v>32</v>
      </c>
      <c r="C7" s="8" t="n">
        <v>1</v>
      </c>
      <c r="D7" s="9" t="n">
        <v>43</v>
      </c>
      <c r="E7" s="7"/>
      <c r="F7" s="7"/>
      <c r="G7" s="7"/>
    </row>
    <row r="8" customFormat="false" ht="15" hidden="false" customHeight="false" outlineLevel="0" collapsed="false">
      <c r="A8" s="7" t="n">
        <v>7</v>
      </c>
      <c r="B8" s="7" t="s">
        <v>33</v>
      </c>
      <c r="C8" s="8" t="n">
        <v>0.99</v>
      </c>
      <c r="D8" s="9" t="n">
        <v>56</v>
      </c>
      <c r="E8" s="7"/>
      <c r="F8" s="7"/>
      <c r="G8" s="7"/>
    </row>
    <row r="9" customFormat="false" ht="15" hidden="false" customHeight="false" outlineLevel="0" collapsed="false">
      <c r="A9" s="7" t="n">
        <v>8</v>
      </c>
      <c r="B9" s="7" t="s">
        <v>34</v>
      </c>
      <c r="C9" s="8" t="n">
        <v>0.99</v>
      </c>
      <c r="D9" s="9" t="n">
        <v>53</v>
      </c>
      <c r="E9" s="7"/>
      <c r="F9" s="7"/>
      <c r="G9" s="7"/>
    </row>
    <row r="10" customFormat="false" ht="15" hidden="false" customHeight="false" outlineLevel="0" collapsed="false">
      <c r="A10" s="7" t="n">
        <v>9</v>
      </c>
      <c r="B10" s="7" t="s">
        <v>35</v>
      </c>
      <c r="C10" s="8" t="n">
        <v>1</v>
      </c>
      <c r="D10" s="9" t="n">
        <v>20</v>
      </c>
      <c r="E10" s="7"/>
      <c r="F10" s="7"/>
      <c r="G10" s="7"/>
    </row>
    <row r="11" customFormat="false" ht="15" hidden="false" customHeight="false" outlineLevel="0" collapsed="false">
      <c r="A11" s="7" t="n">
        <v>10</v>
      </c>
      <c r="B11" s="7" t="s">
        <v>36</v>
      </c>
      <c r="C11" s="11" t="n">
        <v>0</v>
      </c>
      <c r="D11" s="12" t="n">
        <v>0</v>
      </c>
      <c r="E11" s="7"/>
      <c r="F11" s="7"/>
      <c r="G11" s="7"/>
    </row>
    <row r="12" customFormat="false" ht="15" hidden="false" customHeight="false" outlineLevel="0" collapsed="false">
      <c r="A12" s="7" t="n">
        <v>11</v>
      </c>
      <c r="B12" s="7" t="s">
        <v>37</v>
      </c>
      <c r="C12" s="11" t="n">
        <v>0</v>
      </c>
      <c r="D12" s="12" t="n">
        <v>0</v>
      </c>
      <c r="E12" s="7"/>
      <c r="F12" s="7"/>
      <c r="G12" s="7"/>
    </row>
    <row r="13" customFormat="false" ht="15" hidden="false" customHeight="false" outlineLevel="0" collapsed="false">
      <c r="A13" s="7" t="n">
        <v>12</v>
      </c>
      <c r="B13" s="7" t="s">
        <v>38</v>
      </c>
      <c r="C13" s="8" t="n">
        <v>0.76</v>
      </c>
      <c r="D13" s="9" t="n">
        <v>11</v>
      </c>
      <c r="E13" s="7"/>
      <c r="F13" s="7"/>
      <c r="G13" s="7"/>
    </row>
    <row r="14" customFormat="false" ht="15" hidden="false" customHeight="false" outlineLevel="0" collapsed="false">
      <c r="A14" s="7" t="n">
        <v>13</v>
      </c>
      <c r="B14" s="7" t="s">
        <v>39</v>
      </c>
      <c r="C14" s="8" t="n">
        <v>0.76</v>
      </c>
      <c r="D14" s="9" t="n">
        <v>5</v>
      </c>
      <c r="E14" s="7"/>
      <c r="F14" s="7"/>
      <c r="G14" s="7"/>
    </row>
    <row r="15" customFormat="false" ht="15" hidden="false" customHeight="false" outlineLevel="0" collapsed="false">
      <c r="A15" s="7" t="n">
        <v>14</v>
      </c>
      <c r="B15" s="7" t="s">
        <v>40</v>
      </c>
      <c r="C15" s="8" t="n">
        <v>0.7</v>
      </c>
      <c r="D15" s="9" t="n">
        <v>14</v>
      </c>
      <c r="E15" s="7"/>
      <c r="F15" s="7"/>
      <c r="G15" s="7"/>
    </row>
    <row r="16" customFormat="false" ht="15" hidden="false" customHeight="false" outlineLevel="0" collapsed="false">
      <c r="A16" s="7" t="n">
        <v>15</v>
      </c>
      <c r="B16" s="7" t="s">
        <v>41</v>
      </c>
      <c r="C16" s="8" t="n">
        <v>0.69</v>
      </c>
      <c r="D16" s="9" t="n">
        <v>17</v>
      </c>
      <c r="E16" s="7"/>
      <c r="F16" s="7"/>
      <c r="G16" s="7"/>
    </row>
    <row r="17" customFormat="false" ht="15" hidden="false" customHeight="false" outlineLevel="0" collapsed="false">
      <c r="A17" s="7" t="n">
        <v>16</v>
      </c>
      <c r="B17" s="7" t="s">
        <v>42</v>
      </c>
      <c r="C17" s="8" t="n">
        <v>0.69</v>
      </c>
      <c r="D17" s="9" t="n">
        <v>16</v>
      </c>
      <c r="E17" s="7"/>
      <c r="F17" s="7"/>
      <c r="G17" s="7"/>
    </row>
    <row r="18" customFormat="false" ht="15" hidden="false" customHeight="false" outlineLevel="0" collapsed="false">
      <c r="A18" s="7" t="n">
        <v>17</v>
      </c>
      <c r="B18" s="7" t="s">
        <v>43</v>
      </c>
      <c r="C18" s="8" t="n">
        <v>0.7</v>
      </c>
      <c r="D18" s="9" t="n">
        <v>18</v>
      </c>
      <c r="E18" s="7"/>
      <c r="F18" s="7"/>
      <c r="G18" s="7"/>
    </row>
    <row r="19" customFormat="false" ht="15" hidden="false" customHeight="false" outlineLevel="0" collapsed="false">
      <c r="A19" s="7" t="n">
        <v>18</v>
      </c>
      <c r="B19" s="7" t="s">
        <v>44</v>
      </c>
      <c r="C19" s="8" t="n">
        <v>0.76</v>
      </c>
      <c r="D19" s="9" t="n">
        <v>2</v>
      </c>
      <c r="E19" s="7"/>
      <c r="F19" s="7"/>
      <c r="G19" s="7"/>
    </row>
    <row r="20" customFormat="false" ht="15" hidden="false" customHeight="false" outlineLevel="0" collapsed="false">
      <c r="A20" s="7" t="n">
        <v>19</v>
      </c>
      <c r="B20" s="7" t="s">
        <v>45</v>
      </c>
      <c r="C20" s="8" t="n">
        <v>0.75</v>
      </c>
      <c r="D20" s="12" t="n">
        <v>1</v>
      </c>
      <c r="E20" s="7"/>
      <c r="F20" s="7"/>
      <c r="G20" s="7"/>
    </row>
    <row r="21" customFormat="false" ht="15" hidden="false" customHeight="false" outlineLevel="0" collapsed="false">
      <c r="A21" s="7" t="n">
        <v>20</v>
      </c>
      <c r="B21" s="7" t="s">
        <v>46</v>
      </c>
      <c r="C21" s="8" t="n">
        <v>0.73</v>
      </c>
      <c r="D21" s="9" t="n">
        <v>8</v>
      </c>
      <c r="E21" s="7"/>
      <c r="F21" s="7"/>
      <c r="G21" s="7"/>
    </row>
    <row r="22" customFormat="false" ht="15" hidden="false" customHeight="false" outlineLevel="0" collapsed="false">
      <c r="A22" s="7" t="n">
        <v>21</v>
      </c>
      <c r="B22" s="7" t="s">
        <v>47</v>
      </c>
      <c r="C22" s="8" t="n">
        <v>0.73</v>
      </c>
      <c r="D22" s="12" t="n">
        <v>1</v>
      </c>
      <c r="E22" s="7"/>
      <c r="F22" s="7"/>
      <c r="G22" s="7"/>
    </row>
    <row r="23" customFormat="false" ht="15" hidden="false" customHeight="false" outlineLevel="0" collapsed="false">
      <c r="A23" s="7" t="n">
        <v>22</v>
      </c>
      <c r="B23" s="7" t="s">
        <v>48</v>
      </c>
      <c r="C23" s="8" t="n">
        <v>0.72</v>
      </c>
      <c r="D23" s="9" t="n">
        <v>16</v>
      </c>
      <c r="E23" s="7"/>
      <c r="F23" s="7"/>
      <c r="G23" s="7"/>
    </row>
    <row r="24" customFormat="false" ht="15" hidden="false" customHeight="false" outlineLevel="0" collapsed="false">
      <c r="A24" s="7" t="n">
        <v>23</v>
      </c>
      <c r="B24" s="7" t="s">
        <v>49</v>
      </c>
      <c r="C24" s="8" t="n">
        <v>0.76</v>
      </c>
      <c r="D24" s="9" t="n">
        <v>2</v>
      </c>
      <c r="E24" s="7"/>
      <c r="F24" s="7"/>
      <c r="G24" s="7"/>
    </row>
    <row r="25" customFormat="false" ht="15" hidden="false" customHeight="false" outlineLevel="0" collapsed="false">
      <c r="A25" s="7" t="n">
        <v>24</v>
      </c>
      <c r="B25" s="7" t="s">
        <v>50</v>
      </c>
      <c r="C25" s="8" t="n">
        <v>0.72</v>
      </c>
      <c r="D25" s="9" t="n">
        <v>7</v>
      </c>
      <c r="E25" s="7"/>
      <c r="F25" s="7"/>
      <c r="G25" s="7"/>
    </row>
    <row r="26" customFormat="false" ht="15" hidden="false" customHeight="false" outlineLevel="0" collapsed="false">
      <c r="A26" s="7" t="n">
        <v>25</v>
      </c>
      <c r="B26" s="7" t="s">
        <v>51</v>
      </c>
      <c r="C26" s="8" t="n">
        <v>0.72</v>
      </c>
      <c r="D26" s="9" t="n">
        <v>2</v>
      </c>
      <c r="E26" s="7"/>
      <c r="F26" s="7"/>
      <c r="G26" s="7"/>
    </row>
    <row r="27" customFormat="false" ht="15" hidden="false" customHeight="false" outlineLevel="0" collapsed="false">
      <c r="A27" s="7" t="n">
        <v>26</v>
      </c>
      <c r="B27" s="7" t="s">
        <v>52</v>
      </c>
      <c r="C27" s="8" t="n">
        <v>0.72</v>
      </c>
      <c r="D27" s="9" t="n">
        <v>5</v>
      </c>
      <c r="E27" s="7"/>
      <c r="F27" s="7"/>
      <c r="G27" s="7"/>
    </row>
    <row r="28" customFormat="false" ht="15" hidden="false" customHeight="false" outlineLevel="0" collapsed="false">
      <c r="A28" s="7" t="n">
        <v>27</v>
      </c>
      <c r="B28" s="7" t="s">
        <v>53</v>
      </c>
      <c r="C28" s="8" t="n">
        <v>0.7</v>
      </c>
      <c r="D28" s="9" t="n">
        <v>2</v>
      </c>
      <c r="E28" s="7"/>
      <c r="F28" s="7"/>
      <c r="G28" s="7"/>
    </row>
    <row r="29" customFormat="false" ht="15" hidden="false" customHeight="false" outlineLevel="0" collapsed="false">
      <c r="A29" s="7" t="n">
        <v>28</v>
      </c>
      <c r="B29" s="7" t="s">
        <v>54</v>
      </c>
      <c r="C29" s="8" t="n">
        <v>0.72</v>
      </c>
      <c r="D29" s="9" t="n">
        <v>3</v>
      </c>
      <c r="E29" s="7"/>
      <c r="F29" s="7"/>
      <c r="G29" s="7"/>
    </row>
    <row r="30" customFormat="false" ht="15" hidden="false" customHeight="false" outlineLevel="0" collapsed="false">
      <c r="A30" s="7" t="n">
        <v>29</v>
      </c>
      <c r="B30" s="7" t="s">
        <v>55</v>
      </c>
      <c r="C30" s="8" t="n">
        <v>0.72</v>
      </c>
      <c r="D30" s="12" t="n">
        <v>1</v>
      </c>
      <c r="E30" s="7"/>
      <c r="F30" s="7"/>
      <c r="G30" s="7"/>
    </row>
    <row r="31" customFormat="false" ht="15" hidden="false" customHeight="false" outlineLevel="0" collapsed="false">
      <c r="A31" s="7" t="n">
        <v>30</v>
      </c>
      <c r="B31" s="7" t="s">
        <v>56</v>
      </c>
      <c r="C31" s="8" t="n">
        <v>0.72</v>
      </c>
      <c r="D31" s="9" t="n">
        <v>5</v>
      </c>
      <c r="E31" s="7"/>
      <c r="F31" s="7"/>
      <c r="G31" s="7"/>
    </row>
    <row r="32" customFormat="false" ht="15" hidden="false" customHeight="false" outlineLevel="0" collapsed="false">
      <c r="A32" s="7" t="n">
        <v>31</v>
      </c>
      <c r="B32" s="7" t="s">
        <v>57</v>
      </c>
      <c r="C32" s="8" t="n">
        <v>0.72</v>
      </c>
      <c r="D32" s="9" t="n">
        <v>3</v>
      </c>
      <c r="E32" s="7"/>
      <c r="F32" s="7"/>
      <c r="G32" s="7"/>
    </row>
  </sheetData>
  <autoFilter ref="A1:G32"/>
  <dataValidations count="1">
    <dataValidation allowBlank="true" error="Elija una de las cuatro decisiones." errorStyle="stop" operator="between" showDropDown="false" showErrorMessage="false" showInputMessage="false" sqref="F2:F32" type="list">
      <formula1>"DESCARTAR,CONSERVAR,DIVIDIR,NORMALIZAR"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32"/>
    <col collapsed="false" customWidth="true" hidden="false" outlineLevel="0" max="9" min="9" style="0" width="18"/>
    <col collapsed="false" customWidth="true" hidden="false" outlineLevel="0" max="10" min="10" style="0" width="46"/>
    <col collapsed="false" customWidth="true" hidden="false" outlineLevel="0" max="12" min="12" style="0" width="20"/>
    <col collapsed="false" customWidth="true" hidden="false" outlineLevel="0" max="13" min="13" style="0" width="10"/>
  </cols>
  <sheetData>
    <row r="1" customFormat="false" ht="31.5" hidden="false" customHeight="true" outlineLevel="0" collapsed="false">
      <c r="A1" s="5" t="s">
        <v>16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  <c r="G1" s="5" t="s">
        <v>63</v>
      </c>
      <c r="H1" s="5" t="s">
        <v>64</v>
      </c>
      <c r="I1" s="5" t="s">
        <v>65</v>
      </c>
      <c r="J1" s="5" t="s">
        <v>66</v>
      </c>
      <c r="L1" s="4" t="s">
        <v>67</v>
      </c>
      <c r="M1" s="6" t="n">
        <f aca="false">COUNTA(B2:B44)</f>
        <v>1</v>
      </c>
    </row>
    <row r="2" customFormat="false" ht="22.35" hidden="false" customHeight="false" outlineLevel="0" collapsed="false">
      <c r="A2" s="13" t="n">
        <v>1</v>
      </c>
      <c r="B2" s="13" t="s">
        <v>68</v>
      </c>
      <c r="C2" s="13" t="s">
        <v>69</v>
      </c>
      <c r="D2" s="13" t="n">
        <v>15</v>
      </c>
      <c r="E2" s="13" t="s">
        <v>70</v>
      </c>
      <c r="F2" s="13" t="s">
        <v>24</v>
      </c>
      <c r="G2" s="13" t="s">
        <v>71</v>
      </c>
      <c r="H2" s="13" t="s">
        <v>72</v>
      </c>
      <c r="I2" s="13" t="s">
        <v>73</v>
      </c>
      <c r="J2" s="13" t="s">
        <v>74</v>
      </c>
      <c r="L2" s="4" t="s">
        <v>75</v>
      </c>
      <c r="M2" s="6" t="n">
        <f aca="false">COUNTA(B2:B44)-COUNTA(C2:C44)</f>
        <v>0</v>
      </c>
    </row>
    <row r="3" customFormat="false" ht="15" hidden="false" customHeight="false" outlineLevel="0" collapsed="false">
      <c r="A3" s="7" t="n">
        <v>2</v>
      </c>
      <c r="B3" s="7"/>
      <c r="C3" s="7"/>
      <c r="D3" s="7"/>
      <c r="E3" s="7"/>
      <c r="F3" s="7"/>
      <c r="G3" s="7"/>
      <c r="H3" s="7"/>
      <c r="I3" s="7"/>
      <c r="J3" s="7"/>
      <c r="L3" s="4" t="s">
        <v>76</v>
      </c>
      <c r="M3" s="6" t="n">
        <f aca="false">COUNTA(B2:B44)-COUNTA(J2:J44)</f>
        <v>0</v>
      </c>
    </row>
    <row r="4" customFormat="false" ht="15" hidden="false" customHeight="false" outlineLevel="0" collapsed="false">
      <c r="A4" s="7" t="n">
        <v>3</v>
      </c>
      <c r="B4" s="7"/>
      <c r="C4" s="7"/>
      <c r="D4" s="7"/>
      <c r="E4" s="7"/>
      <c r="F4" s="7"/>
      <c r="G4" s="7"/>
      <c r="H4" s="7"/>
      <c r="I4" s="7"/>
      <c r="J4" s="7"/>
    </row>
    <row r="5" customFormat="false" ht="15" hidden="false" customHeight="false" outlineLevel="0" collapsed="false">
      <c r="A5" s="7" t="n">
        <v>4</v>
      </c>
      <c r="B5" s="7"/>
      <c r="C5" s="7"/>
      <c r="D5" s="7"/>
      <c r="E5" s="7"/>
      <c r="F5" s="7"/>
      <c r="G5" s="7"/>
      <c r="H5" s="7"/>
      <c r="I5" s="7"/>
      <c r="J5" s="7"/>
    </row>
    <row r="6" customFormat="false" ht="15" hidden="false" customHeight="false" outlineLevel="0" collapsed="false">
      <c r="A6" s="7" t="n">
        <v>5</v>
      </c>
      <c r="B6" s="7"/>
      <c r="C6" s="7"/>
      <c r="D6" s="7"/>
      <c r="E6" s="7"/>
      <c r="F6" s="7"/>
      <c r="G6" s="7"/>
      <c r="H6" s="7"/>
      <c r="I6" s="7"/>
      <c r="J6" s="7"/>
    </row>
    <row r="7" customFormat="false" ht="15" hidden="false" customHeight="false" outlineLevel="0" collapsed="false">
      <c r="A7" s="7" t="n">
        <v>6</v>
      </c>
      <c r="B7" s="7"/>
      <c r="C7" s="7"/>
      <c r="D7" s="7"/>
      <c r="E7" s="7"/>
      <c r="F7" s="7"/>
      <c r="G7" s="7"/>
      <c r="H7" s="7"/>
      <c r="I7" s="7"/>
      <c r="J7" s="7"/>
    </row>
    <row r="8" customFormat="false" ht="15" hidden="false" customHeight="false" outlineLevel="0" collapsed="false">
      <c r="A8" s="7" t="n">
        <v>7</v>
      </c>
      <c r="B8" s="7"/>
      <c r="C8" s="7"/>
      <c r="D8" s="7"/>
      <c r="E8" s="7"/>
      <c r="F8" s="7"/>
      <c r="G8" s="7"/>
      <c r="H8" s="7"/>
      <c r="I8" s="7"/>
      <c r="J8" s="7"/>
    </row>
    <row r="9" customFormat="false" ht="15" hidden="false" customHeight="false" outlineLevel="0" collapsed="false">
      <c r="A9" s="7" t="n">
        <v>8</v>
      </c>
      <c r="B9" s="7"/>
      <c r="C9" s="7"/>
      <c r="D9" s="7"/>
      <c r="E9" s="7"/>
      <c r="F9" s="7"/>
      <c r="G9" s="7"/>
      <c r="H9" s="7"/>
      <c r="I9" s="7"/>
      <c r="J9" s="7"/>
    </row>
    <row r="10" customFormat="false" ht="15" hidden="false" customHeight="false" outlineLevel="0" collapsed="false">
      <c r="A10" s="7" t="n">
        <v>9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false" outlineLevel="0" collapsed="false">
      <c r="A11" s="7" t="n">
        <v>10</v>
      </c>
      <c r="B11" s="7"/>
      <c r="C11" s="7"/>
      <c r="D11" s="7"/>
      <c r="E11" s="7"/>
      <c r="F11" s="7"/>
      <c r="G11" s="7"/>
      <c r="H11" s="7"/>
      <c r="I11" s="7"/>
      <c r="J11" s="7"/>
    </row>
    <row r="12" customFormat="false" ht="15" hidden="false" customHeight="false" outlineLevel="0" collapsed="false">
      <c r="A12" s="7" t="n">
        <v>11</v>
      </c>
      <c r="B12" s="7"/>
      <c r="C12" s="7"/>
      <c r="D12" s="7"/>
      <c r="E12" s="7"/>
      <c r="F12" s="7"/>
      <c r="G12" s="7"/>
      <c r="H12" s="7"/>
      <c r="I12" s="7"/>
      <c r="J12" s="7"/>
    </row>
    <row r="13" customFormat="false" ht="15" hidden="false" customHeight="false" outlineLevel="0" collapsed="false">
      <c r="A13" s="7" t="n">
        <v>12</v>
      </c>
      <c r="B13" s="7"/>
      <c r="C13" s="7"/>
      <c r="D13" s="7"/>
      <c r="E13" s="7"/>
      <c r="F13" s="7"/>
      <c r="G13" s="7"/>
      <c r="H13" s="7"/>
      <c r="I13" s="7"/>
      <c r="J13" s="7"/>
    </row>
    <row r="14" customFormat="false" ht="15" hidden="false" customHeight="false" outlineLevel="0" collapsed="false">
      <c r="A14" s="7" t="n">
        <v>13</v>
      </c>
      <c r="B14" s="7"/>
      <c r="C14" s="7"/>
      <c r="D14" s="7"/>
      <c r="E14" s="7"/>
      <c r="F14" s="7"/>
      <c r="G14" s="7"/>
      <c r="H14" s="7"/>
      <c r="I14" s="7"/>
      <c r="J14" s="7"/>
    </row>
    <row r="15" customFormat="false" ht="15" hidden="false" customHeight="false" outlineLevel="0" collapsed="false">
      <c r="A15" s="7" t="n">
        <v>14</v>
      </c>
      <c r="B15" s="7"/>
      <c r="C15" s="7"/>
      <c r="D15" s="7"/>
      <c r="E15" s="7"/>
      <c r="F15" s="7"/>
      <c r="G15" s="7"/>
      <c r="H15" s="7"/>
      <c r="I15" s="7"/>
      <c r="J15" s="7"/>
    </row>
    <row r="16" customFormat="false" ht="15" hidden="false" customHeight="false" outlineLevel="0" collapsed="false">
      <c r="A16" s="7" t="n">
        <v>15</v>
      </c>
      <c r="B16" s="7"/>
      <c r="C16" s="7"/>
      <c r="D16" s="7"/>
      <c r="E16" s="7"/>
      <c r="F16" s="7"/>
      <c r="G16" s="7"/>
      <c r="H16" s="7"/>
      <c r="I16" s="7"/>
      <c r="J16" s="7"/>
    </row>
    <row r="17" customFormat="false" ht="15" hidden="false" customHeight="false" outlineLevel="0" collapsed="false">
      <c r="A17" s="7" t="n">
        <v>16</v>
      </c>
      <c r="B17" s="7"/>
      <c r="C17" s="7"/>
      <c r="D17" s="7"/>
      <c r="E17" s="7"/>
      <c r="F17" s="7"/>
      <c r="G17" s="7"/>
      <c r="H17" s="7"/>
      <c r="I17" s="7"/>
      <c r="J17" s="7"/>
    </row>
    <row r="18" customFormat="false" ht="15" hidden="false" customHeight="false" outlineLevel="0" collapsed="false">
      <c r="A18" s="7" t="n">
        <v>17</v>
      </c>
      <c r="B18" s="7"/>
      <c r="C18" s="7"/>
      <c r="D18" s="7"/>
      <c r="E18" s="7"/>
      <c r="F18" s="7"/>
      <c r="G18" s="7"/>
      <c r="H18" s="7"/>
      <c r="I18" s="7"/>
      <c r="J18" s="7"/>
    </row>
    <row r="19" customFormat="false" ht="15" hidden="false" customHeight="false" outlineLevel="0" collapsed="false">
      <c r="A19" s="7" t="n">
        <v>18</v>
      </c>
      <c r="B19" s="7"/>
      <c r="C19" s="7"/>
      <c r="D19" s="7"/>
      <c r="E19" s="7"/>
      <c r="F19" s="7"/>
      <c r="G19" s="7"/>
      <c r="H19" s="7"/>
      <c r="I19" s="7"/>
      <c r="J19" s="7"/>
    </row>
    <row r="20" customFormat="false" ht="15" hidden="false" customHeight="false" outlineLevel="0" collapsed="false">
      <c r="A20" s="7" t="n">
        <v>19</v>
      </c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5" hidden="false" customHeight="false" outlineLevel="0" collapsed="false">
      <c r="A21" s="7" t="n">
        <v>20</v>
      </c>
      <c r="B21" s="7"/>
      <c r="C21" s="7"/>
      <c r="D21" s="7"/>
      <c r="E21" s="7"/>
      <c r="F21" s="7"/>
      <c r="G21" s="7"/>
      <c r="H21" s="7"/>
      <c r="I21" s="7"/>
      <c r="J21" s="7"/>
    </row>
    <row r="22" customFormat="false" ht="15" hidden="false" customHeight="false" outlineLevel="0" collapsed="false">
      <c r="A22" s="7" t="n">
        <v>21</v>
      </c>
      <c r="B22" s="7"/>
      <c r="C22" s="7"/>
      <c r="D22" s="7"/>
      <c r="E22" s="7"/>
      <c r="F22" s="7"/>
      <c r="G22" s="7"/>
      <c r="H22" s="7"/>
      <c r="I22" s="7"/>
      <c r="J22" s="7"/>
    </row>
    <row r="23" customFormat="false" ht="15" hidden="false" customHeight="false" outlineLevel="0" collapsed="false">
      <c r="A23" s="7" t="n">
        <v>22</v>
      </c>
      <c r="B23" s="7"/>
      <c r="C23" s="7"/>
      <c r="D23" s="7"/>
      <c r="E23" s="7"/>
      <c r="F23" s="7"/>
      <c r="G23" s="7"/>
      <c r="H23" s="7"/>
      <c r="I23" s="7"/>
      <c r="J23" s="7"/>
    </row>
    <row r="24" customFormat="false" ht="15" hidden="false" customHeight="false" outlineLevel="0" collapsed="false">
      <c r="A24" s="7" t="n">
        <v>23</v>
      </c>
      <c r="B24" s="7"/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false" outlineLevel="0" collapsed="false">
      <c r="A25" s="7" t="n">
        <v>24</v>
      </c>
      <c r="B25" s="7"/>
      <c r="C25" s="7"/>
      <c r="D25" s="7"/>
      <c r="E25" s="7"/>
      <c r="F25" s="7"/>
      <c r="G25" s="7"/>
      <c r="H25" s="7"/>
      <c r="I25" s="7"/>
      <c r="J25" s="7"/>
    </row>
    <row r="26" customFormat="false" ht="15" hidden="false" customHeight="false" outlineLevel="0" collapsed="false">
      <c r="A26" s="7" t="n">
        <v>25</v>
      </c>
      <c r="B26" s="7"/>
      <c r="C26" s="7"/>
      <c r="D26" s="7"/>
      <c r="E26" s="7"/>
      <c r="F26" s="7"/>
      <c r="G26" s="7"/>
      <c r="H26" s="7"/>
      <c r="I26" s="7"/>
      <c r="J26" s="7"/>
    </row>
    <row r="27" customFormat="false" ht="15" hidden="false" customHeight="false" outlineLevel="0" collapsed="false">
      <c r="A27" s="7" t="n">
        <v>26</v>
      </c>
      <c r="B27" s="7"/>
      <c r="C27" s="7"/>
      <c r="D27" s="7"/>
      <c r="E27" s="7"/>
      <c r="F27" s="7"/>
      <c r="G27" s="7"/>
      <c r="H27" s="7"/>
      <c r="I27" s="7"/>
      <c r="J27" s="7"/>
    </row>
    <row r="28" customFormat="false" ht="15" hidden="false" customHeight="false" outlineLevel="0" collapsed="false">
      <c r="A28" s="7" t="n">
        <v>27</v>
      </c>
      <c r="B28" s="7"/>
      <c r="C28" s="7"/>
      <c r="D28" s="7"/>
      <c r="E28" s="7"/>
      <c r="F28" s="7"/>
      <c r="G28" s="7"/>
      <c r="H28" s="7"/>
      <c r="I28" s="7"/>
      <c r="J28" s="7"/>
    </row>
    <row r="29" customFormat="false" ht="15" hidden="false" customHeight="false" outlineLevel="0" collapsed="false">
      <c r="A29" s="7" t="n">
        <v>28</v>
      </c>
      <c r="B29" s="7"/>
      <c r="C29" s="7"/>
      <c r="D29" s="7"/>
      <c r="E29" s="7"/>
      <c r="F29" s="7"/>
      <c r="G29" s="7"/>
      <c r="H29" s="7"/>
      <c r="I29" s="7"/>
      <c r="J29" s="7"/>
    </row>
    <row r="30" customFormat="false" ht="15" hidden="false" customHeight="false" outlineLevel="0" collapsed="false">
      <c r="A30" s="7" t="n">
        <v>29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15" hidden="false" customHeight="false" outlineLevel="0" collapsed="false">
      <c r="A31" s="7" t="n">
        <v>30</v>
      </c>
      <c r="B31" s="7"/>
      <c r="C31" s="7"/>
      <c r="D31" s="7"/>
      <c r="E31" s="7"/>
      <c r="F31" s="7"/>
      <c r="G31" s="7"/>
      <c r="H31" s="7"/>
      <c r="I31" s="7"/>
      <c r="J31" s="7"/>
    </row>
    <row r="32" customFormat="false" ht="15" hidden="false" customHeight="false" outlineLevel="0" collapsed="false">
      <c r="A32" s="7" t="n">
        <v>31</v>
      </c>
      <c r="B32" s="7"/>
      <c r="C32" s="7"/>
      <c r="D32" s="7"/>
      <c r="E32" s="7"/>
      <c r="F32" s="7"/>
      <c r="G32" s="7"/>
      <c r="H32" s="7"/>
      <c r="I32" s="7"/>
      <c r="J32" s="7"/>
    </row>
    <row r="33" customFormat="false" ht="15" hidden="false" customHeight="false" outlineLevel="0" collapsed="false">
      <c r="A33" s="7" t="n">
        <v>32</v>
      </c>
      <c r="B33" s="7"/>
      <c r="C33" s="7"/>
      <c r="D33" s="7"/>
      <c r="E33" s="7"/>
      <c r="F33" s="7"/>
      <c r="G33" s="7"/>
      <c r="H33" s="7"/>
      <c r="I33" s="7"/>
      <c r="J33" s="7"/>
    </row>
    <row r="34" customFormat="false" ht="15" hidden="false" customHeight="false" outlineLevel="0" collapsed="false">
      <c r="A34" s="7" t="n">
        <v>33</v>
      </c>
      <c r="B34" s="7"/>
      <c r="C34" s="7"/>
      <c r="D34" s="7"/>
      <c r="E34" s="7"/>
      <c r="F34" s="7"/>
      <c r="G34" s="7"/>
      <c r="H34" s="7"/>
      <c r="I34" s="7"/>
      <c r="J34" s="7"/>
    </row>
    <row r="35" customFormat="false" ht="15" hidden="false" customHeight="false" outlineLevel="0" collapsed="false">
      <c r="A35" s="7" t="n">
        <v>34</v>
      </c>
      <c r="B35" s="7"/>
      <c r="C35" s="7"/>
      <c r="D35" s="7"/>
      <c r="E35" s="7"/>
      <c r="F35" s="7"/>
      <c r="G35" s="7"/>
      <c r="H35" s="7"/>
      <c r="I35" s="7"/>
      <c r="J35" s="7"/>
    </row>
    <row r="36" customFormat="false" ht="15" hidden="false" customHeight="false" outlineLevel="0" collapsed="false">
      <c r="A36" s="7" t="n">
        <v>35</v>
      </c>
      <c r="B36" s="7"/>
      <c r="C36" s="7"/>
      <c r="D36" s="7"/>
      <c r="E36" s="7"/>
      <c r="F36" s="7"/>
      <c r="G36" s="7"/>
      <c r="H36" s="7"/>
      <c r="I36" s="7"/>
      <c r="J36" s="7"/>
    </row>
    <row r="37" customFormat="false" ht="15" hidden="false" customHeight="false" outlineLevel="0" collapsed="false">
      <c r="A37" s="7" t="n">
        <v>36</v>
      </c>
      <c r="B37" s="7"/>
      <c r="C37" s="7"/>
      <c r="D37" s="7"/>
      <c r="E37" s="7"/>
      <c r="F37" s="7"/>
      <c r="G37" s="7"/>
      <c r="H37" s="7"/>
      <c r="I37" s="7"/>
      <c r="J37" s="7"/>
    </row>
    <row r="38" customFormat="false" ht="15" hidden="false" customHeight="false" outlineLevel="0" collapsed="false">
      <c r="A38" s="7" t="n">
        <v>37</v>
      </c>
      <c r="B38" s="7"/>
      <c r="C38" s="7"/>
      <c r="D38" s="7"/>
      <c r="E38" s="7"/>
      <c r="F38" s="7"/>
      <c r="G38" s="7"/>
      <c r="H38" s="7"/>
      <c r="I38" s="7"/>
      <c r="J38" s="7"/>
    </row>
    <row r="39" customFormat="false" ht="15" hidden="false" customHeight="false" outlineLevel="0" collapsed="false">
      <c r="A39" s="7" t="n">
        <v>38</v>
      </c>
      <c r="B39" s="7"/>
      <c r="C39" s="7"/>
      <c r="D39" s="7"/>
      <c r="E39" s="7"/>
      <c r="F39" s="7"/>
      <c r="G39" s="7"/>
      <c r="H39" s="7"/>
      <c r="I39" s="7"/>
      <c r="J39" s="7"/>
    </row>
    <row r="40" customFormat="false" ht="15" hidden="false" customHeight="false" outlineLevel="0" collapsed="false">
      <c r="A40" s="7" t="n">
        <v>39</v>
      </c>
      <c r="B40" s="7"/>
      <c r="C40" s="7"/>
      <c r="D40" s="7"/>
      <c r="E40" s="7"/>
      <c r="F40" s="7"/>
      <c r="G40" s="7"/>
      <c r="H40" s="7"/>
      <c r="I40" s="7"/>
      <c r="J40" s="7"/>
    </row>
    <row r="41" customFormat="false" ht="15" hidden="false" customHeight="false" outlineLevel="0" collapsed="false">
      <c r="A41" s="7" t="n">
        <v>40</v>
      </c>
      <c r="B41" s="7"/>
      <c r="C41" s="7"/>
      <c r="D41" s="7"/>
      <c r="E41" s="7"/>
      <c r="F41" s="7"/>
      <c r="G41" s="7"/>
      <c r="H41" s="7"/>
      <c r="I41" s="7"/>
      <c r="J41" s="7"/>
    </row>
    <row r="42" customFormat="false" ht="15" hidden="false" customHeight="false" outlineLevel="0" collapsed="false">
      <c r="A42" s="7" t="n">
        <v>41</v>
      </c>
      <c r="B42" s="7"/>
      <c r="C42" s="7"/>
      <c r="D42" s="7"/>
      <c r="E42" s="7"/>
      <c r="F42" s="7"/>
      <c r="G42" s="7"/>
      <c r="H42" s="7"/>
      <c r="I42" s="7"/>
      <c r="J42" s="7"/>
    </row>
    <row r="43" customFormat="false" ht="15" hidden="false" customHeight="false" outlineLevel="0" collapsed="false">
      <c r="A43" s="7" t="n">
        <v>42</v>
      </c>
      <c r="B43" s="7"/>
      <c r="C43" s="7"/>
      <c r="D43" s="7"/>
      <c r="E43" s="7"/>
      <c r="F43" s="7"/>
      <c r="G43" s="7"/>
      <c r="H43" s="7"/>
      <c r="I43" s="7"/>
      <c r="J43" s="7"/>
    </row>
    <row r="44" customFormat="false" ht="15" hidden="false" customHeight="false" outlineLevel="0" collapsed="false">
      <c r="A44" s="7" t="n">
        <v>43</v>
      </c>
      <c r="B44" s="7"/>
      <c r="C44" s="7"/>
      <c r="D44" s="7"/>
      <c r="E44" s="7"/>
      <c r="F44" s="7"/>
      <c r="G44" s="7"/>
      <c r="H44" s="7"/>
      <c r="I44" s="7"/>
      <c r="J44" s="7"/>
    </row>
  </sheetData>
  <autoFilter ref="A1:J44"/>
  <dataValidations count="3">
    <dataValidation allowBlank="true" errorStyle="stop" operator="between" showDropDown="false" showErrorMessage="false" showInputMessage="false" sqref="C3:C44" type="list">
      <formula1>"CHAR,VARCHAR,TEXT,DATE,DATETIME,TIMESTAMP,YEAR,INT,SMALLINT,TINYINT,DECIMAL,ENUM"</formula1>
      <formula2>0</formula2>
    </dataValidation>
    <dataValidation allowBlank="true" errorStyle="stop" operator="between" showDropDown="false" showErrorMessage="false" showInputMessage="false" sqref="E3:E44" type="list">
      <formula1>"SI,NO"</formula1>
      <formula2>0</formula2>
    </dataValidation>
    <dataValidation allowBlank="true" errorStyle="stop" operator="between" showDropDown="false" showErrorMessage="false" showInputMessage="false" sqref="G3:G44" type="list">
      <formula1>"CONSERVAR,DIVIDIR,NORMALIZAR,NUEVO"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36"/>
    <col collapsed="false" customWidth="true" hidden="false" outlineLevel="0" max="5" min="4" style="0" width="44"/>
  </cols>
  <sheetData>
    <row r="1" customFormat="false" ht="31.5" hidden="false" customHeight="true" outlineLevel="0" collapsed="false">
      <c r="A1" s="5" t="s">
        <v>16</v>
      </c>
      <c r="B1" s="5" t="s">
        <v>77</v>
      </c>
      <c r="C1" s="5" t="s">
        <v>78</v>
      </c>
      <c r="D1" s="5" t="s">
        <v>79</v>
      </c>
      <c r="E1" s="5" t="s">
        <v>80</v>
      </c>
    </row>
    <row r="2" customFormat="false" ht="30" hidden="false" customHeight="true" outlineLevel="0" collapsed="false">
      <c r="A2" s="13" t="n">
        <v>1</v>
      </c>
      <c r="B2" s="13" t="s">
        <v>81</v>
      </c>
      <c r="C2" s="13" t="s">
        <v>82</v>
      </c>
      <c r="D2" s="13" t="s">
        <v>83</v>
      </c>
      <c r="E2" s="13" t="s">
        <v>84</v>
      </c>
    </row>
    <row r="3" customFormat="false" ht="30" hidden="false" customHeight="true" outlineLevel="0" collapsed="false">
      <c r="A3" s="13" t="n">
        <v>2</v>
      </c>
      <c r="B3" s="13" t="s">
        <v>85</v>
      </c>
      <c r="C3" s="13" t="s">
        <v>86</v>
      </c>
      <c r="D3" s="13" t="s">
        <v>87</v>
      </c>
      <c r="E3" s="13" t="s">
        <v>88</v>
      </c>
    </row>
    <row r="4" customFormat="false" ht="15" hidden="false" customHeight="false" outlineLevel="0" collapsed="false">
      <c r="A4" s="7" t="n">
        <v>3</v>
      </c>
      <c r="B4" s="7"/>
      <c r="C4" s="7"/>
      <c r="D4" s="7"/>
      <c r="E4" s="7"/>
    </row>
    <row r="5" customFormat="false" ht="15" hidden="false" customHeight="false" outlineLevel="0" collapsed="false">
      <c r="A5" s="7" t="n">
        <v>4</v>
      </c>
      <c r="B5" s="7"/>
      <c r="C5" s="7"/>
      <c r="D5" s="7"/>
      <c r="E5" s="7"/>
    </row>
    <row r="6" customFormat="false" ht="15" hidden="false" customHeight="false" outlineLevel="0" collapsed="false">
      <c r="A6" s="7" t="n">
        <v>5</v>
      </c>
      <c r="B6" s="7"/>
      <c r="C6" s="7"/>
      <c r="D6" s="7"/>
      <c r="E6" s="7"/>
    </row>
    <row r="7" customFormat="false" ht="15" hidden="false" customHeight="false" outlineLevel="0" collapsed="false">
      <c r="A7" s="7" t="n">
        <v>6</v>
      </c>
      <c r="B7" s="7"/>
      <c r="C7" s="7"/>
      <c r="D7" s="7"/>
      <c r="E7" s="7"/>
    </row>
    <row r="8" customFormat="false" ht="15" hidden="false" customHeight="false" outlineLevel="0" collapsed="false">
      <c r="A8" s="7" t="n">
        <v>7</v>
      </c>
      <c r="B8" s="7"/>
      <c r="C8" s="7"/>
      <c r="D8" s="7"/>
      <c r="E8" s="7"/>
    </row>
    <row r="9" customFormat="false" ht="15" hidden="false" customHeight="false" outlineLevel="0" collapsed="false">
      <c r="A9" s="7" t="n">
        <v>8</v>
      </c>
      <c r="B9" s="7"/>
      <c r="C9" s="7"/>
      <c r="D9" s="7"/>
      <c r="E9" s="7"/>
    </row>
    <row r="10" customFormat="false" ht="15" hidden="false" customHeight="false" outlineLevel="0" collapsed="false">
      <c r="A10" s="7" t="n">
        <v>9</v>
      </c>
      <c r="B10" s="7"/>
      <c r="C10" s="7"/>
      <c r="D10" s="7"/>
      <c r="E10" s="7"/>
    </row>
    <row r="11" customFormat="false" ht="15" hidden="false" customHeight="false" outlineLevel="0" collapsed="false">
      <c r="A11" s="7" t="n">
        <v>10</v>
      </c>
      <c r="B11" s="7"/>
      <c r="C11" s="7"/>
      <c r="D11" s="7"/>
      <c r="E11" s="7"/>
    </row>
    <row r="12" customFormat="false" ht="15" hidden="false" customHeight="false" outlineLevel="0" collapsed="false">
      <c r="A12" s="7" t="n">
        <v>11</v>
      </c>
      <c r="B12" s="7"/>
      <c r="C12" s="7"/>
      <c r="D12" s="7"/>
      <c r="E12" s="7"/>
    </row>
    <row r="13" customFormat="false" ht="15" hidden="false" customHeight="false" outlineLevel="0" collapsed="false">
      <c r="A13" s="7" t="n">
        <v>12</v>
      </c>
      <c r="B13" s="7"/>
      <c r="C13" s="7"/>
      <c r="D13" s="7"/>
      <c r="E13" s="7"/>
    </row>
    <row r="14" customFormat="false" ht="15" hidden="false" customHeight="false" outlineLevel="0" collapsed="false">
      <c r="A14" s="7" t="n">
        <v>13</v>
      </c>
      <c r="B14" s="7"/>
      <c r="C14" s="7"/>
      <c r="D14" s="7"/>
      <c r="E14" s="7"/>
    </row>
    <row r="15" customFormat="false" ht="15" hidden="false" customHeight="false" outlineLevel="0" collapsed="false">
      <c r="A15" s="7" t="n">
        <v>14</v>
      </c>
      <c r="B15" s="7"/>
      <c r="C15" s="7"/>
      <c r="D15" s="7"/>
      <c r="E15" s="7"/>
    </row>
    <row r="16" customFormat="false" ht="15" hidden="false" customHeight="false" outlineLevel="0" collapsed="false">
      <c r="A16" s="7" t="n">
        <v>15</v>
      </c>
      <c r="B16" s="7"/>
      <c r="C16" s="7"/>
      <c r="D16" s="7"/>
      <c r="E16" s="7"/>
    </row>
    <row r="17" customFormat="false" ht="15" hidden="false" customHeight="false" outlineLevel="0" collapsed="false">
      <c r="A17" s="7" t="n">
        <v>16</v>
      </c>
      <c r="B17" s="7"/>
      <c r="C17" s="7"/>
      <c r="D17" s="7"/>
      <c r="E17" s="7"/>
    </row>
    <row r="18" customFormat="false" ht="15" hidden="false" customHeight="false" outlineLevel="0" collapsed="false">
      <c r="A18" s="7" t="n">
        <v>17</v>
      </c>
      <c r="B18" s="7"/>
      <c r="C18" s="7"/>
      <c r="D18" s="7"/>
      <c r="E18" s="7"/>
    </row>
    <row r="19" customFormat="false" ht="15" hidden="false" customHeight="false" outlineLevel="0" collapsed="false">
      <c r="A19" s="7" t="n">
        <v>18</v>
      </c>
      <c r="B19" s="7"/>
      <c r="C19" s="7"/>
      <c r="D19" s="7"/>
      <c r="E1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4" min="4" style="0" width="44"/>
    <col collapsed="false" customWidth="true" hidden="false" outlineLevel="0" max="5" min="5" style="0" width="36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31.5" hidden="false" customHeight="true" outlineLevel="0" collapsed="false">
      <c r="A1" s="5" t="s">
        <v>16</v>
      </c>
      <c r="B1" s="5" t="s">
        <v>89</v>
      </c>
      <c r="C1" s="5" t="s">
        <v>90</v>
      </c>
      <c r="D1" s="5" t="s">
        <v>91</v>
      </c>
      <c r="E1" s="5" t="s">
        <v>92</v>
      </c>
      <c r="F1" s="5" t="s">
        <v>93</v>
      </c>
      <c r="G1" s="5" t="s">
        <v>94</v>
      </c>
      <c r="I1" s="4" t="s">
        <v>95</v>
      </c>
      <c r="J1" s="6" t="str">
        <f aca="false">COUNTIF(F2:F11,"SI")&amp;" / 10"</f>
        <v>0 / 10</v>
      </c>
    </row>
    <row r="2" customFormat="false" ht="25.5" hidden="false" customHeight="true" outlineLevel="0" collapsed="false">
      <c r="A2" s="7" t="n">
        <v>1</v>
      </c>
      <c r="B2" s="7" t="s">
        <v>96</v>
      </c>
      <c r="C2" s="7" t="s">
        <v>97</v>
      </c>
      <c r="D2" s="7" t="s">
        <v>98</v>
      </c>
      <c r="E2" s="7"/>
      <c r="F2" s="7"/>
      <c r="G2" s="7"/>
    </row>
    <row r="3" customFormat="false" ht="25.5" hidden="false" customHeight="true" outlineLevel="0" collapsed="false">
      <c r="A3" s="7" t="n">
        <v>2</v>
      </c>
      <c r="B3" s="7" t="s">
        <v>99</v>
      </c>
      <c r="C3" s="7" t="s">
        <v>100</v>
      </c>
      <c r="D3" s="7" t="s">
        <v>101</v>
      </c>
      <c r="E3" s="7"/>
      <c r="F3" s="7"/>
      <c r="G3" s="7"/>
    </row>
    <row r="4" customFormat="false" ht="25.5" hidden="false" customHeight="true" outlineLevel="0" collapsed="false">
      <c r="A4" s="7" t="n">
        <v>3</v>
      </c>
      <c r="B4" s="7" t="s">
        <v>102</v>
      </c>
      <c r="C4" s="7" t="s">
        <v>103</v>
      </c>
      <c r="D4" s="7" t="s">
        <v>104</v>
      </c>
      <c r="E4" s="7"/>
      <c r="F4" s="7"/>
      <c r="G4" s="7"/>
    </row>
    <row r="5" customFormat="false" ht="25.5" hidden="false" customHeight="true" outlineLevel="0" collapsed="false">
      <c r="A5" s="7" t="n">
        <v>4</v>
      </c>
      <c r="B5" s="7" t="s">
        <v>105</v>
      </c>
      <c r="C5" s="7" t="s">
        <v>106</v>
      </c>
      <c r="D5" s="7" t="s">
        <v>107</v>
      </c>
      <c r="E5" s="7"/>
      <c r="F5" s="7"/>
      <c r="G5" s="7"/>
    </row>
    <row r="6" customFormat="false" ht="25.5" hidden="false" customHeight="true" outlineLevel="0" collapsed="false">
      <c r="A6" s="7" t="n">
        <v>5</v>
      </c>
      <c r="B6" s="7" t="s">
        <v>108</v>
      </c>
      <c r="C6" s="7" t="s">
        <v>109</v>
      </c>
      <c r="D6" s="7" t="s">
        <v>110</v>
      </c>
      <c r="E6" s="7"/>
      <c r="F6" s="7"/>
      <c r="G6" s="7"/>
    </row>
    <row r="7" customFormat="false" ht="25.5" hidden="false" customHeight="true" outlineLevel="0" collapsed="false">
      <c r="A7" s="7" t="n">
        <v>6</v>
      </c>
      <c r="B7" s="7" t="s">
        <v>111</v>
      </c>
      <c r="C7" s="7" t="s">
        <v>112</v>
      </c>
      <c r="D7" s="7" t="s">
        <v>113</v>
      </c>
      <c r="E7" s="7"/>
      <c r="F7" s="7"/>
      <c r="G7" s="7"/>
    </row>
    <row r="8" customFormat="false" ht="25.5" hidden="false" customHeight="true" outlineLevel="0" collapsed="false">
      <c r="A8" s="7" t="n">
        <v>7</v>
      </c>
      <c r="B8" s="7" t="s">
        <v>114</v>
      </c>
      <c r="C8" s="7" t="s">
        <v>115</v>
      </c>
      <c r="D8" s="7" t="s">
        <v>116</v>
      </c>
      <c r="E8" s="7"/>
      <c r="F8" s="7"/>
      <c r="G8" s="7"/>
    </row>
    <row r="9" customFormat="false" ht="25.5" hidden="false" customHeight="true" outlineLevel="0" collapsed="false">
      <c r="A9" s="7" t="n">
        <v>8</v>
      </c>
      <c r="B9" s="7" t="s">
        <v>117</v>
      </c>
      <c r="C9" s="7" t="s">
        <v>118</v>
      </c>
      <c r="D9" s="7" t="s">
        <v>119</v>
      </c>
      <c r="E9" s="7"/>
      <c r="F9" s="7"/>
      <c r="G9" s="7"/>
    </row>
    <row r="10" customFormat="false" ht="25.5" hidden="false" customHeight="true" outlineLevel="0" collapsed="false">
      <c r="A10" s="7" t="n">
        <v>9</v>
      </c>
      <c r="B10" s="7" t="s">
        <v>120</v>
      </c>
      <c r="C10" s="7" t="s">
        <v>121</v>
      </c>
      <c r="D10" s="7" t="s">
        <v>122</v>
      </c>
      <c r="E10" s="7"/>
      <c r="F10" s="7"/>
      <c r="G10" s="7"/>
    </row>
    <row r="11" customFormat="false" ht="25.5" hidden="false" customHeight="true" outlineLevel="0" collapsed="false">
      <c r="A11" s="7" t="n">
        <v>10</v>
      </c>
      <c r="B11" s="7" t="s">
        <v>123</v>
      </c>
      <c r="C11" s="7" t="s">
        <v>124</v>
      </c>
      <c r="D11" s="7" t="s">
        <v>125</v>
      </c>
      <c r="E11" s="7"/>
      <c r="F11" s="7"/>
      <c r="G11" s="7"/>
    </row>
  </sheetData>
  <dataValidations count="1">
    <dataValidation allowBlank="true" errorStyle="stop" operator="between" showDropDown="false" showErrorMessage="false" showInputMessage="false" sqref="F2:F11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2026-08-31T02:54:12Z</dcterms:created>
  <dc:creator>openpyxl</dc:creator>
  <dc:description/>
  <dc:language>en-US</dc:language>
  <cp:lastModifiedBy/>
  <dcterms:modified xsi:type="dcterms:W3CDTF">2026-08-31T02:54:12Z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